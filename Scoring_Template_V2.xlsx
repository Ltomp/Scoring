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Setup" sheetId="2" state="visible" r:id="rId2"/>
    <sheet name="Leaderboard" sheetId="3" state="visible" r:id="rId3"/>
    <sheet name="Handicapping" sheetId="4" state="visible" r:id="rId4"/>
    <sheet name="Round 1" sheetId="5" state="visible" r:id="rId5"/>
    <sheet name="Round 2" sheetId="6" state="visible" r:id="rId6"/>
    <sheet name="Round 3" sheetId="7" state="visible" r:id="rId7"/>
    <sheet name="Round 4" sheetId="8" state="visible" r:id="rId8"/>
    <sheet name="Round 5" sheetId="9" state="visible" r:id="rId9"/>
    <sheet name="Round 6" sheetId="10" state="visible" r:id="rId10"/>
    <sheet name="Round 7" sheetId="11" state="visible" r:id="rId11"/>
    <sheet name="Round 8" sheetId="12" state="visible" r:id="rId12"/>
    <sheet name="Round 9" sheetId="13" state="visible" r:id="rId13"/>
    <sheet name="Round 10"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0;-0.00;0"/>
  </numFmts>
  <fonts count="6">
    <font>
      <name val="Calibri"/>
      <family val="2"/>
      <color theme="1"/>
      <sz val="11"/>
      <scheme val="minor"/>
    </font>
    <font>
      <b val="1"/>
      <sz val="12"/>
    </font>
    <font>
      <sz val="11"/>
    </font>
    <font>
      <b val="1"/>
      <sz val="11"/>
    </font>
    <font>
      <b val="1"/>
    </font>
    <font>
      <b val="1"/>
      <color rgb="00FFFFFF"/>
    </font>
  </fonts>
  <fills count="6">
    <fill>
      <patternFill/>
    </fill>
    <fill>
      <patternFill patternType="gray125"/>
    </fill>
    <fill>
      <patternFill patternType="solid">
        <fgColor rgb="00FFF6D6"/>
      </patternFill>
    </fill>
    <fill>
      <patternFill patternType="solid">
        <fgColor rgb="001F5C33"/>
      </patternFill>
    </fill>
    <fill>
      <patternFill patternType="solid">
        <fgColor rgb="00DCE9DF"/>
      </patternFill>
    </fill>
    <fill>
      <patternFill patternType="solid">
        <fgColor rgb="00E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0" fillId="2" borderId="1" applyAlignment="1" applyProtection="1" pivotButton="0" quotePrefix="0" xfId="0">
      <alignment horizontal="left" vertical="center"/>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5" fillId="3" borderId="1" applyAlignment="1" pivotButton="0" quotePrefix="0" xfId="0">
      <alignment horizontal="center" vertical="center"/>
    </xf>
    <xf numFmtId="0" fontId="0" fillId="0" borderId="5" pivotButton="0" quotePrefix="0" xfId="0"/>
    <xf numFmtId="0" fontId="0" fillId="4" borderId="1" applyAlignment="1" pivotButton="0" quotePrefix="0" xfId="0">
      <alignment horizontal="center" vertical="center"/>
    </xf>
    <xf numFmtId="1" fontId="0" fillId="2" borderId="1" applyAlignment="1" applyProtection="1" pivotButton="0" quotePrefix="0" xfId="0">
      <alignment horizontal="center" vertical="center"/>
      <protection locked="0" hidden="0"/>
    </xf>
    <xf numFmtId="164" fontId="0" fillId="2" borderId="1" applyAlignment="1" applyProtection="1" pivotButton="0" quotePrefix="0" xfId="0">
      <alignment horizontal="center" vertical="center"/>
      <protection locked="0" hidden="0"/>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0" fillId="5" borderId="1" applyAlignment="1" pivotButton="0" quotePrefix="0" xfId="0">
      <alignment horizontal="center" vertical="center"/>
    </xf>
    <xf numFmtId="1" fontId="4" fillId="0" borderId="1" applyAlignment="1" pivotButton="0" quotePrefix="0" xfId="0">
      <alignment horizontal="center" vertical="center"/>
    </xf>
    <xf numFmtId="0" fontId="0" fillId="0" borderId="1" applyAlignment="1" pivotButton="0" quotePrefix="0" xfId="0">
      <alignment horizontal="left" vertical="center"/>
    </xf>
    <xf numFmtId="1" fontId="0" fillId="0" borderId="1" applyAlignment="1" pivotButton="0" quotePrefix="0" xfId="0">
      <alignment horizontal="center" vertical="center"/>
    </xf>
    <xf numFmtId="0" fontId="4" fillId="0" borderId="1" applyAlignment="1" pivotButton="0" quotePrefix="0" xfId="0">
      <alignment horizontal="center" vertical="center"/>
    </xf>
    <xf numFmtId="2" fontId="0" fillId="0" borderId="1" applyAlignment="1" pivotButton="0" quotePrefix="0" xfId="0">
      <alignment horizontal="center" vertical="center"/>
    </xf>
    <xf numFmtId="165" fontId="4" fillId="0" borderId="1" applyAlignment="1" pivotButton="0" quotePrefix="0" xfId="0">
      <alignment horizontal="center" vertical="center"/>
    </xf>
    <xf numFmtId="165" fontId="0" fillId="2" borderId="1" applyAlignment="1" applyProtection="1" pivotButton="0" quotePrefix="0" xfId="0">
      <alignment horizontal="center" vertical="center"/>
      <protection locked="0" hidden="0"/>
    </xf>
    <xf numFmtId="0" fontId="5" fillId="3" borderId="1" applyAlignment="1" pivotButton="0" quotePrefix="0" xfId="0">
      <alignment horizontal="left" vertical="center"/>
    </xf>
    <xf numFmtId="0" fontId="0" fillId="3" borderId="1" applyAlignment="1" pivotButton="0" quotePrefix="0" xfId="0">
      <alignment horizontal="center" vertical="center"/>
    </xf>
    <xf numFmtId="0" fontId="4" fillId="4" borderId="1" applyAlignment="1" pivotButton="0" quotePrefix="0" xfId="0">
      <alignment horizontal="left" vertical="center"/>
    </xf>
    <xf numFmtId="1" fontId="4" fillId="4" borderId="1" applyAlignment="1" pivotButton="0" quotePrefix="0" xfId="0">
      <alignment horizontal="center" vertical="center"/>
    </xf>
    <xf numFmtId="0" fontId="0" fillId="0"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1" fontId="4" fillId="5" borderId="1" applyAlignment="1" pivotButton="0" quotePrefix="0" xfId="0">
      <alignment horizontal="center" vertical="center"/>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sheetPr>
  <dimension ref="A1:A39"/>
  <sheetViews>
    <sheetView workbookViewId="0">
      <selection activeCell="A1" sqref="A1"/>
    </sheetView>
  </sheetViews>
  <sheetFormatPr baseColWidth="8" defaultRowHeight="15"/>
  <cols>
    <col width="110" customWidth="1" min="1" max="1"/>
  </cols>
  <sheetData>
    <row r="1">
      <c r="A1" s="1" t="inlineStr">
        <is>
          <t>Golf Trip Scoring — how to run a trip</t>
        </is>
      </c>
    </row>
    <row r="2">
      <c r="A2" s="2" t="inlineStr"/>
    </row>
    <row r="3">
      <c r="A3" s="3" t="inlineStr">
        <is>
          <t>BEFORE THE TRIP (Setup sheet — yellow cells are the only editable ones)</t>
        </is>
      </c>
    </row>
    <row r="4">
      <c r="A4" s="2" t="inlineStr">
        <is>
          <t>1.  Enter the trip name and year.</t>
        </is>
      </c>
    </row>
    <row r="5">
      <c r="A5" s="2" t="inlineStr">
        <is>
          <t>2.  Enter each player's name and Starting H'cap (Golflink no. and nickname are optional).</t>
        </is>
      </c>
    </row>
    <row r="6">
      <c r="A6" s="2" t="inlineStr">
        <is>
          <t xml:space="preserve">     Leave unused player rows completely blank — they are ignored everywhere.</t>
        </is>
      </c>
    </row>
    <row r="7">
      <c r="A7" s="2" t="inlineStr">
        <is>
          <t>3.  For each round, enter the course name and the Par and Stroke Index (SI) of every hole.</t>
        </is>
      </c>
    </row>
    <row r="8">
      <c r="A8" s="2" t="inlineStr">
        <is>
          <t xml:space="preserve">     The 'SI check' row must show OK (each of 1-18 used exactly once). Leave unused rounds blank.</t>
        </is>
      </c>
    </row>
    <row r="9">
      <c r="A9" s="2" t="inlineStr"/>
    </row>
    <row r="10">
      <c r="A10" s="3" t="inlineStr">
        <is>
          <t>EACH DAY (Round sheets — organisers enter everything from the physical cards)</t>
        </is>
      </c>
    </row>
    <row r="11">
      <c r="A11" s="2" t="inlineStr">
        <is>
          <t>1.  Enter each player's gross score per hole in the yellow Score cells.</t>
        </is>
      </c>
    </row>
    <row r="12">
      <c r="A12" s="2" t="inlineStr">
        <is>
          <t xml:space="preserve">     Enter 0 (or leave blank) for a wiped hole — it scores no points.</t>
        </is>
      </c>
    </row>
    <row r="13">
      <c r="A13" s="2" t="inlineStr">
        <is>
          <t>2.  If a card was filled out incorrectly, enter a 1 or 2 point Card penalty for that player.</t>
        </is>
      </c>
    </row>
    <row r="14">
      <c r="A14" s="2" t="inlineStr">
        <is>
          <t xml:space="preserve">     The penalty reduces their Round points, daily position and handicap outcome,</t>
        </is>
      </c>
    </row>
    <row r="15">
      <c r="A15" s="2" t="inlineStr">
        <is>
          <t xml:space="preserve">     but never changes the average awarded to players who missed the round.</t>
        </is>
      </c>
    </row>
    <row r="16">
      <c r="A16" s="2" t="inlineStr">
        <is>
          <t>3.  A player with no scores entered is treated as absent: they receive the field's average</t>
        </is>
      </c>
    </row>
    <row r="17">
      <c r="A17" s="2" t="inlineStr">
        <is>
          <t xml:space="preserve">     points (rounded, before penalties) and are ranked with it in the daily comp.</t>
        </is>
      </c>
    </row>
    <row r="18">
      <c r="A18" s="2" t="inlineStr">
        <is>
          <t>4.  Round points, daily positions (Australian countback: back 9, last 6, last 3, then</t>
        </is>
      </c>
    </row>
    <row r="19">
      <c r="A19" s="2" t="inlineStr">
        <is>
          <t xml:space="preserve">     hole-by-hole from 18) and the next day's handicaps all update automatically.</t>
        </is>
      </c>
    </row>
    <row r="20">
      <c r="A20" s="2" t="inlineStr">
        <is>
          <t xml:space="preserve">     'cb' under a player means their tie was split by countback.</t>
        </is>
      </c>
    </row>
    <row r="21">
      <c r="A21" s="2" t="inlineStr"/>
    </row>
    <row r="22">
      <c r="A22" s="3" t="inlineStr">
        <is>
          <t>HANDICAPPING</t>
        </is>
      </c>
    </row>
    <row r="23">
      <c r="A23" s="2" t="inlineStr">
        <is>
          <t>Each player's handicap moves after every round by the Amount shown for their daily</t>
        </is>
      </c>
    </row>
    <row r="24">
      <c r="A24" s="2" t="inlineStr">
        <is>
          <t>position (Handicapping sheet). The table auto-scales to the number of players — the</t>
        </is>
      </c>
    </row>
    <row r="25">
      <c r="A25" s="2" t="inlineStr">
        <is>
          <t>winner always loses 2 and last place always gains 2, with everyone between spread in</t>
        </is>
      </c>
    </row>
    <row r="26">
      <c r="A26" s="2" t="inlineStr">
        <is>
          <t>equal steps. You may overtype the amounts (yellow) before the trip if you want different</t>
        </is>
      </c>
    </row>
    <row r="27">
      <c r="A27" s="2" t="inlineStr">
        <is>
          <t>steps.</t>
        </is>
      </c>
    </row>
    <row r="28">
      <c r="A28" s="2" t="inlineStr">
        <is>
          <t>The Daily H'cap used on the cards is the running handicap rounded to a whole number.</t>
        </is>
      </c>
    </row>
    <row r="29">
      <c r="A29" s="2" t="inlineStr"/>
    </row>
    <row r="30">
      <c r="A30" s="3" t="inlineStr">
        <is>
          <t>INTEGRITY</t>
        </is>
      </c>
    </row>
    <row r="31">
      <c r="A31" s="2" t="inlineStr">
        <is>
          <t>All white cells are locked formulas. To unlock (not recommended mid-trip):</t>
        </is>
      </c>
    </row>
    <row r="32">
      <c r="A32" s="2" t="inlineStr">
        <is>
          <t>Review &gt; Unprotect Sheet (there is no password).</t>
        </is>
      </c>
    </row>
    <row r="33">
      <c r="A33" s="2" t="inlineStr"/>
    </row>
    <row r="34">
      <c r="A34" s="3" t="inlineStr">
        <is>
          <t>OFFICE SCRIPTS (Excel on the web, optional)</t>
        </is>
      </c>
    </row>
    <row r="35">
      <c r="A35" s="2" t="inlineStr">
        <is>
          <t>Three helper scripts ship alongside this workbook (see office-scripts/ or the README):</t>
        </is>
      </c>
    </row>
    <row r="36">
      <c r="A36" s="2" t="inlineStr">
        <is>
          <t xml:space="preserve">  Tidy Trip View — hides unused player columns, rows and round sheets.</t>
        </is>
      </c>
    </row>
    <row r="37">
      <c r="A37" s="2" t="inlineStr">
        <is>
          <t xml:space="preserve">  New Trip Reset — clears scores, players and courses for the next trip.</t>
        </is>
      </c>
    </row>
    <row r="38">
      <c r="A38" s="2" t="inlineStr">
        <is>
          <t xml:space="preserve">  Lock Completed Round — locks a finished day's scores against changes.</t>
        </is>
      </c>
    </row>
    <row r="39">
      <c r="A39" s="2" t="inlineStr">
        <is>
          <t>Add them once via Automate &gt; New Script, paste the code, Save Script.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tabColor rgb="001F5C33"/>
    <outlinePr summaryBelow="1" summaryRight="1"/>
    <pageSetUpPr/>
  </sheetPr>
  <dimension ref="A1:Z36"/>
  <sheetViews>
    <sheetView workbookViewId="0">
      <selection activeCell="A1" sqref="A1"/>
    </sheetView>
  </sheetViews>
  <sheetFormatPr baseColWidth="8" defaultRowHeight="15"/>
  <cols>
    <col width="5" customWidth="1" min="1" max="1"/>
    <col width="22" customWidth="1" min="2" max="2"/>
    <col width="13" customWidth="1" min="3" max="3"/>
    <col width="13" customWidth="1" min="4" max="4"/>
    <col width="14" customWidth="1" min="5" max="5"/>
    <col width="9"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 width="7" customWidth="1" min="23" max="23"/>
    <col width="7" customWidth="1" min="24" max="24"/>
    <col width="7" customWidth="1" min="25" max="25"/>
    <col width="7" customWidth="1" min="26" max="26"/>
  </cols>
  <sheetData>
    <row r="1">
      <c r="A1" s="4" t="inlineStr">
        <is>
          <t>Trip Name:</t>
        </is>
      </c>
      <c r="B1" s="5" t="n"/>
      <c r="C1" s="6" t="n"/>
      <c r="D1" s="6" t="n"/>
      <c r="E1" s="7" t="n"/>
    </row>
    <row r="2">
      <c r="A2" s="4" t="inlineStr">
        <is>
          <t>Year:</t>
        </is>
      </c>
      <c r="B2" s="5" t="n"/>
      <c r="G2" s="4" t="inlineStr">
        <is>
          <t>Courses — enter course name, then Par and Stroke Index for each hole</t>
        </is>
      </c>
    </row>
    <row r="3">
      <c r="G3" s="8" t="inlineStr">
        <is>
          <t>Round 1</t>
        </is>
      </c>
      <c r="H3" s="9" t="n"/>
      <c r="I3" s="8" t="inlineStr">
        <is>
          <t>Round 2</t>
        </is>
      </c>
      <c r="J3" s="9" t="n"/>
      <c r="K3" s="8" t="inlineStr">
        <is>
          <t>Round 3</t>
        </is>
      </c>
      <c r="L3" s="9" t="n"/>
      <c r="M3" s="8" t="inlineStr">
        <is>
          <t>Round 4</t>
        </is>
      </c>
      <c r="N3" s="9" t="n"/>
      <c r="O3" s="8" t="inlineStr">
        <is>
          <t>Round 5</t>
        </is>
      </c>
      <c r="P3" s="9" t="n"/>
      <c r="Q3" s="8" t="inlineStr">
        <is>
          <t>Round 6</t>
        </is>
      </c>
      <c r="R3" s="9" t="n"/>
      <c r="S3" s="8" t="inlineStr">
        <is>
          <t>Round 7</t>
        </is>
      </c>
      <c r="T3" s="9" t="n"/>
      <c r="U3" s="8" t="inlineStr">
        <is>
          <t>Round 8</t>
        </is>
      </c>
      <c r="V3" s="9" t="n"/>
      <c r="W3" s="8" t="inlineStr">
        <is>
          <t>Round 9</t>
        </is>
      </c>
      <c r="X3" s="9" t="n"/>
      <c r="Y3" s="8" t="inlineStr">
        <is>
          <t>Round 10</t>
        </is>
      </c>
      <c r="Z3" s="9" t="n"/>
    </row>
    <row r="4">
      <c r="A4" s="8" t="inlineStr">
        <is>
          <t>No.</t>
        </is>
      </c>
      <c r="B4" s="8" t="inlineStr">
        <is>
          <t>Player Name</t>
        </is>
      </c>
      <c r="C4" s="8" t="inlineStr">
        <is>
          <t>Golflink No.</t>
        </is>
      </c>
      <c r="D4" s="8" t="inlineStr">
        <is>
          <t>Nickname</t>
        </is>
      </c>
      <c r="E4" s="8" t="inlineStr">
        <is>
          <t>Starting H'cap</t>
        </is>
      </c>
      <c r="F4" s="4" t="inlineStr">
        <is>
          <t>Course:</t>
        </is>
      </c>
      <c r="G4" s="5" t="n"/>
      <c r="H4" s="7" t="n"/>
      <c r="I4" s="5" t="n"/>
      <c r="J4" s="7" t="n"/>
      <c r="K4" s="5" t="n"/>
      <c r="L4" s="7" t="n"/>
      <c r="M4" s="5" t="n"/>
      <c r="N4" s="7" t="n"/>
      <c r="O4" s="5" t="n"/>
      <c r="P4" s="7" t="n"/>
      <c r="Q4" s="5" t="n"/>
      <c r="R4" s="7" t="n"/>
      <c r="S4" s="5" t="n"/>
      <c r="T4" s="7" t="n"/>
      <c r="U4" s="5" t="n"/>
      <c r="V4" s="7" t="n"/>
      <c r="W4" s="5" t="n"/>
      <c r="X4" s="7" t="n"/>
      <c r="Y4" s="5" t="n"/>
      <c r="Z4" s="7" t="n"/>
    </row>
    <row r="5">
      <c r="A5" s="10" t="n">
        <v>1</v>
      </c>
      <c r="B5" s="5" t="n"/>
      <c r="C5" s="11" t="n"/>
      <c r="D5" s="5" t="n"/>
      <c r="E5" s="12" t="n"/>
      <c r="F5" s="8" t="inlineStr">
        <is>
          <t>Hole</t>
        </is>
      </c>
      <c r="G5" s="13" t="inlineStr">
        <is>
          <t>Par</t>
        </is>
      </c>
      <c r="H5" s="13" t="inlineStr">
        <is>
          <t>SI</t>
        </is>
      </c>
      <c r="I5" s="13" t="inlineStr">
        <is>
          <t>Par</t>
        </is>
      </c>
      <c r="J5" s="13" t="inlineStr">
        <is>
          <t>SI</t>
        </is>
      </c>
      <c r="K5" s="13" t="inlineStr">
        <is>
          <t>Par</t>
        </is>
      </c>
      <c r="L5" s="13" t="inlineStr">
        <is>
          <t>SI</t>
        </is>
      </c>
      <c r="M5" s="13" t="inlineStr">
        <is>
          <t>Par</t>
        </is>
      </c>
      <c r="N5" s="13" t="inlineStr">
        <is>
          <t>SI</t>
        </is>
      </c>
      <c r="O5" s="13" t="inlineStr">
        <is>
          <t>Par</t>
        </is>
      </c>
      <c r="P5" s="13" t="inlineStr">
        <is>
          <t>SI</t>
        </is>
      </c>
      <c r="Q5" s="13" t="inlineStr">
        <is>
          <t>Par</t>
        </is>
      </c>
      <c r="R5" s="13" t="inlineStr">
        <is>
          <t>SI</t>
        </is>
      </c>
      <c r="S5" s="13" t="inlineStr">
        <is>
          <t>Par</t>
        </is>
      </c>
      <c r="T5" s="13" t="inlineStr">
        <is>
          <t>SI</t>
        </is>
      </c>
      <c r="U5" s="13" t="inlineStr">
        <is>
          <t>Par</t>
        </is>
      </c>
      <c r="V5" s="13" t="inlineStr">
        <is>
          <t>SI</t>
        </is>
      </c>
      <c r="W5" s="13" t="inlineStr">
        <is>
          <t>Par</t>
        </is>
      </c>
      <c r="X5" s="13" t="inlineStr">
        <is>
          <t>SI</t>
        </is>
      </c>
      <c r="Y5" s="13" t="inlineStr">
        <is>
          <t>Par</t>
        </is>
      </c>
      <c r="Z5" s="13" t="inlineStr">
        <is>
          <t>SI</t>
        </is>
      </c>
    </row>
    <row r="6">
      <c r="A6" s="10" t="n">
        <v>2</v>
      </c>
      <c r="B6" s="5" t="n"/>
      <c r="C6" s="11" t="n"/>
      <c r="D6" s="5" t="n"/>
      <c r="E6" s="12" t="n"/>
      <c r="F6" s="10" t="n">
        <v>1</v>
      </c>
      <c r="G6" s="11" t="n"/>
      <c r="H6" s="11" t="n"/>
      <c r="I6" s="11" t="n"/>
      <c r="J6" s="11" t="n"/>
      <c r="K6" s="11" t="n"/>
      <c r="L6" s="11" t="n"/>
      <c r="M6" s="11" t="n"/>
      <c r="N6" s="11" t="n"/>
      <c r="O6" s="11" t="n"/>
      <c r="P6" s="11" t="n"/>
      <c r="Q6" s="11" t="n"/>
      <c r="R6" s="11" t="n"/>
      <c r="S6" s="11" t="n"/>
      <c r="T6" s="11" t="n"/>
      <c r="U6" s="11" t="n"/>
      <c r="V6" s="11" t="n"/>
      <c r="W6" s="11" t="n"/>
      <c r="X6" s="11" t="n"/>
      <c r="Y6" s="11" t="n"/>
      <c r="Z6" s="11" t="n"/>
    </row>
    <row r="7">
      <c r="A7" s="10" t="n">
        <v>3</v>
      </c>
      <c r="B7" s="5" t="n"/>
      <c r="C7" s="11" t="n"/>
      <c r="D7" s="5" t="n"/>
      <c r="E7" s="12" t="n"/>
      <c r="F7" s="10" t="n">
        <v>2</v>
      </c>
      <c r="G7" s="11" t="n"/>
      <c r="H7" s="11" t="n"/>
      <c r="I7" s="11" t="n"/>
      <c r="J7" s="11" t="n"/>
      <c r="K7" s="11" t="n"/>
      <c r="L7" s="11" t="n"/>
      <c r="M7" s="11" t="n"/>
      <c r="N7" s="11" t="n"/>
      <c r="O7" s="11" t="n"/>
      <c r="P7" s="11" t="n"/>
      <c r="Q7" s="11" t="n"/>
      <c r="R7" s="11" t="n"/>
      <c r="S7" s="11" t="n"/>
      <c r="T7" s="11" t="n"/>
      <c r="U7" s="11" t="n"/>
      <c r="V7" s="11" t="n"/>
      <c r="W7" s="11" t="n"/>
      <c r="X7" s="11" t="n"/>
      <c r="Y7" s="11" t="n"/>
      <c r="Z7" s="11" t="n"/>
    </row>
    <row r="8">
      <c r="A8" s="10" t="n">
        <v>4</v>
      </c>
      <c r="B8" s="5" t="n"/>
      <c r="C8" s="11" t="n"/>
      <c r="D8" s="5" t="n"/>
      <c r="E8" s="12" t="n"/>
      <c r="F8" s="10" t="n">
        <v>3</v>
      </c>
      <c r="G8" s="11" t="n"/>
      <c r="H8" s="11" t="n"/>
      <c r="I8" s="11" t="n"/>
      <c r="J8" s="11" t="n"/>
      <c r="K8" s="11" t="n"/>
      <c r="L8" s="11" t="n"/>
      <c r="M8" s="11" t="n"/>
      <c r="N8" s="11" t="n"/>
      <c r="O8" s="11" t="n"/>
      <c r="P8" s="11" t="n"/>
      <c r="Q8" s="11" t="n"/>
      <c r="R8" s="11" t="n"/>
      <c r="S8" s="11" t="n"/>
      <c r="T8" s="11" t="n"/>
      <c r="U8" s="11" t="n"/>
      <c r="V8" s="11" t="n"/>
      <c r="W8" s="11" t="n"/>
      <c r="X8" s="11" t="n"/>
      <c r="Y8" s="11" t="n"/>
      <c r="Z8" s="11" t="n"/>
    </row>
    <row r="9">
      <c r="A9" s="10" t="n">
        <v>5</v>
      </c>
      <c r="B9" s="5" t="n"/>
      <c r="C9" s="11" t="n"/>
      <c r="D9" s="5" t="n"/>
      <c r="E9" s="12" t="n"/>
      <c r="F9" s="10" t="n">
        <v>4</v>
      </c>
      <c r="G9" s="11" t="n"/>
      <c r="H9" s="11" t="n"/>
      <c r="I9" s="11" t="n"/>
      <c r="J9" s="11" t="n"/>
      <c r="K9" s="11" t="n"/>
      <c r="L9" s="11" t="n"/>
      <c r="M9" s="11" t="n"/>
      <c r="N9" s="11" t="n"/>
      <c r="O9" s="11" t="n"/>
      <c r="P9" s="11" t="n"/>
      <c r="Q9" s="11" t="n"/>
      <c r="R9" s="11" t="n"/>
      <c r="S9" s="11" t="n"/>
      <c r="T9" s="11" t="n"/>
      <c r="U9" s="11" t="n"/>
      <c r="V9" s="11" t="n"/>
      <c r="W9" s="11" t="n"/>
      <c r="X9" s="11" t="n"/>
      <c r="Y9" s="11" t="n"/>
      <c r="Z9" s="11" t="n"/>
    </row>
    <row r="10">
      <c r="A10" s="10" t="n">
        <v>6</v>
      </c>
      <c r="B10" s="5" t="n"/>
      <c r="C10" s="11" t="n"/>
      <c r="D10" s="5" t="n"/>
      <c r="E10" s="12" t="n"/>
      <c r="F10" s="10" t="n">
        <v>5</v>
      </c>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row>
    <row r="11">
      <c r="A11" s="10" t="n">
        <v>7</v>
      </c>
      <c r="B11" s="5" t="n"/>
      <c r="C11" s="11" t="n"/>
      <c r="D11" s="5" t="n"/>
      <c r="E11" s="12" t="n"/>
      <c r="F11" s="10" t="n">
        <v>6</v>
      </c>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row>
    <row r="12">
      <c r="A12" s="10" t="n">
        <v>8</v>
      </c>
      <c r="B12" s="5" t="n"/>
      <c r="C12" s="11" t="n"/>
      <c r="D12" s="5" t="n"/>
      <c r="E12" s="12" t="n"/>
      <c r="F12" s="10" t="n">
        <v>7</v>
      </c>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row>
    <row r="13">
      <c r="A13" s="10" t="n">
        <v>9</v>
      </c>
      <c r="B13" s="5" t="n"/>
      <c r="C13" s="11" t="n"/>
      <c r="D13" s="5" t="n"/>
      <c r="E13" s="12" t="n"/>
      <c r="F13" s="10" t="n">
        <v>8</v>
      </c>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row>
    <row r="14">
      <c r="A14" s="10" t="n">
        <v>10</v>
      </c>
      <c r="B14" s="5" t="n"/>
      <c r="C14" s="11" t="n"/>
      <c r="D14" s="5" t="n"/>
      <c r="E14" s="12" t="n"/>
      <c r="F14" s="10" t="n">
        <v>9</v>
      </c>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row>
    <row r="15">
      <c r="A15" s="10" t="n">
        <v>11</v>
      </c>
      <c r="B15" s="5" t="n"/>
      <c r="C15" s="11" t="n"/>
      <c r="D15" s="5" t="n"/>
      <c r="E15" s="12" t="n"/>
      <c r="F15" s="10" t="n">
        <v>10</v>
      </c>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row>
    <row r="16">
      <c r="A16" s="10" t="n">
        <v>12</v>
      </c>
      <c r="B16" s="5" t="n"/>
      <c r="C16" s="11" t="n"/>
      <c r="D16" s="5" t="n"/>
      <c r="E16" s="12" t="n"/>
      <c r="F16" s="10" t="n">
        <v>11</v>
      </c>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row>
    <row r="17">
      <c r="A17" s="10" t="n">
        <v>13</v>
      </c>
      <c r="B17" s="5" t="n"/>
      <c r="C17" s="11" t="n"/>
      <c r="D17" s="5" t="n"/>
      <c r="E17" s="12" t="n"/>
      <c r="F17" s="10" t="n">
        <v>12</v>
      </c>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row>
    <row r="18">
      <c r="A18" s="10" t="n">
        <v>14</v>
      </c>
      <c r="B18" s="5" t="n"/>
      <c r="C18" s="11" t="n"/>
      <c r="D18" s="5" t="n"/>
      <c r="E18" s="12" t="n"/>
      <c r="F18" s="10" t="n">
        <v>13</v>
      </c>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row>
    <row r="19">
      <c r="A19" s="10" t="n">
        <v>15</v>
      </c>
      <c r="B19" s="5" t="n"/>
      <c r="C19" s="11" t="n"/>
      <c r="D19" s="5" t="n"/>
      <c r="E19" s="12" t="n"/>
      <c r="F19" s="10" t="n">
        <v>14</v>
      </c>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row>
    <row r="20">
      <c r="A20" s="10" t="n">
        <v>16</v>
      </c>
      <c r="B20" s="5" t="n"/>
      <c r="C20" s="11" t="n"/>
      <c r="D20" s="5" t="n"/>
      <c r="E20" s="12" t="n"/>
      <c r="F20" s="10" t="n">
        <v>15</v>
      </c>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row>
    <row r="21">
      <c r="A21" s="10" t="n">
        <v>17</v>
      </c>
      <c r="B21" s="5" t="n"/>
      <c r="C21" s="11" t="n"/>
      <c r="D21" s="5" t="n"/>
      <c r="E21" s="12" t="n"/>
      <c r="F21" s="10" t="n">
        <v>16</v>
      </c>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row>
    <row r="22">
      <c r="A22" s="10" t="n">
        <v>18</v>
      </c>
      <c r="B22" s="5" t="n"/>
      <c r="C22" s="11" t="n"/>
      <c r="D22" s="5" t="n"/>
      <c r="E22" s="12" t="n"/>
      <c r="F22" s="10" t="n">
        <v>17</v>
      </c>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row>
    <row r="23">
      <c r="A23" s="10" t="n">
        <v>19</v>
      </c>
      <c r="B23" s="5" t="n"/>
      <c r="C23" s="11" t="n"/>
      <c r="D23" s="5" t="n"/>
      <c r="E23" s="12" t="n"/>
      <c r="F23" s="10" t="n">
        <v>18</v>
      </c>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row>
    <row r="24">
      <c r="A24" s="10" t="n">
        <v>20</v>
      </c>
      <c r="B24" s="5" t="n"/>
      <c r="C24" s="11" t="n"/>
      <c r="D24" s="5" t="n"/>
      <c r="E24" s="12" t="n"/>
      <c r="F24" s="4" t="inlineStr">
        <is>
          <t>Par total</t>
        </is>
      </c>
      <c r="G24" s="14">
        <f>IF(COUNT(G6:G23)=0,"",SUM(G6:G23))</f>
        <v/>
      </c>
      <c r="I24" s="14">
        <f>IF(COUNT(I6:I23)=0,"",SUM(I6:I23))</f>
        <v/>
      </c>
      <c r="K24" s="14">
        <f>IF(COUNT(K6:K23)=0,"",SUM(K6:K23))</f>
        <v/>
      </c>
      <c r="M24" s="14">
        <f>IF(COUNT(M6:M23)=0,"",SUM(M6:M23))</f>
        <v/>
      </c>
      <c r="O24" s="14">
        <f>IF(COUNT(O6:O23)=0,"",SUM(O6:O23))</f>
        <v/>
      </c>
      <c r="Q24" s="14">
        <f>IF(COUNT(Q6:Q23)=0,"",SUM(Q6:Q23))</f>
        <v/>
      </c>
      <c r="S24" s="14">
        <f>IF(COUNT(S6:S23)=0,"",SUM(S6:S23))</f>
        <v/>
      </c>
      <c r="U24" s="14">
        <f>IF(COUNT(U6:U23)=0,"",SUM(U6:U23))</f>
        <v/>
      </c>
      <c r="W24" s="14">
        <f>IF(COUNT(W6:W23)=0,"",SUM(W6:W23))</f>
        <v/>
      </c>
      <c r="Y24" s="14">
        <f>IF(COUNT(Y6:Y23)=0,"",SUM(Y6:Y23))</f>
        <v/>
      </c>
    </row>
    <row r="25">
      <c r="A25" s="10" t="n">
        <v>21</v>
      </c>
      <c r="B25" s="5" t="n"/>
      <c r="C25" s="11" t="n"/>
      <c r="D25" s="5" t="n"/>
      <c r="E25" s="12" t="n"/>
      <c r="F25" s="4" t="inlineStr">
        <is>
          <t>SI check</t>
        </is>
      </c>
      <c r="G25" s="14">
        <f>IF(COUNT(H6:H23)=0,"",IF(AND(COUNT(H6:H23)=18,SUM(H6:H23)=171,SUMPRODUCT(--(COUNTIF(H6:H23,H6:H23)&gt;1))=0),"OK","CHECK"))</f>
        <v/>
      </c>
      <c r="H25" s="15" t="n"/>
      <c r="I25" s="14">
        <f>IF(COUNT(J6:J23)=0,"",IF(AND(COUNT(J6:J23)=18,SUM(J6:J23)=171,SUMPRODUCT(--(COUNTIF(J6:J23,J6:J23)&gt;1))=0),"OK","CHECK"))</f>
        <v/>
      </c>
      <c r="J25" s="15" t="n"/>
      <c r="K25" s="14">
        <f>IF(COUNT(L6:L23)=0,"",IF(AND(COUNT(L6:L23)=18,SUM(L6:L23)=171,SUMPRODUCT(--(COUNTIF(L6:L23,L6:L23)&gt;1))=0),"OK","CHECK"))</f>
        <v/>
      </c>
      <c r="L25" s="15" t="n"/>
      <c r="M25" s="14">
        <f>IF(COUNT(N6:N23)=0,"",IF(AND(COUNT(N6:N23)=18,SUM(N6:N23)=171,SUMPRODUCT(--(COUNTIF(N6:N23,N6:N23)&gt;1))=0),"OK","CHECK"))</f>
        <v/>
      </c>
      <c r="N25" s="15" t="n"/>
      <c r="O25" s="14">
        <f>IF(COUNT(P6:P23)=0,"",IF(AND(COUNT(P6:P23)=18,SUM(P6:P23)=171,SUMPRODUCT(--(COUNTIF(P6:P23,P6:P23)&gt;1))=0),"OK","CHECK"))</f>
        <v/>
      </c>
      <c r="P25" s="15" t="n"/>
      <c r="Q25" s="14">
        <f>IF(COUNT(R6:R23)=0,"",IF(AND(COUNT(R6:R23)=18,SUM(R6:R23)=171,SUMPRODUCT(--(COUNTIF(R6:R23,R6:R23)&gt;1))=0),"OK","CHECK"))</f>
        <v/>
      </c>
      <c r="R25" s="15" t="n"/>
      <c r="S25" s="14">
        <f>IF(COUNT(T6:T23)=0,"",IF(AND(COUNT(T6:T23)=18,SUM(T6:T23)=171,SUMPRODUCT(--(COUNTIF(T6:T23,T6:T23)&gt;1))=0),"OK","CHECK"))</f>
        <v/>
      </c>
      <c r="T25" s="15" t="n"/>
      <c r="U25" s="14">
        <f>IF(COUNT(V6:V23)=0,"",IF(AND(COUNT(V6:V23)=18,SUM(V6:V23)=171,SUMPRODUCT(--(COUNTIF(V6:V23,V6:V23)&gt;1))=0),"OK","CHECK"))</f>
        <v/>
      </c>
      <c r="V25" s="15" t="n"/>
      <c r="W25" s="14">
        <f>IF(COUNT(X6:X23)=0,"",IF(AND(COUNT(X6:X23)=18,SUM(X6:X23)=171,SUMPRODUCT(--(COUNTIF(X6:X23,X6:X23)&gt;1))=0),"OK","CHECK"))</f>
        <v/>
      </c>
      <c r="X25" s="15" t="n"/>
      <c r="Y25" s="14">
        <f>IF(COUNT(Z6:Z23)=0,"",IF(AND(COUNT(Z6:Z23)=18,SUM(Z6:Z23)=171,SUMPRODUCT(--(COUNTIF(Z6:Z23,Z6:Z23)&gt;1))=0),"OK","CHECK"))</f>
        <v/>
      </c>
      <c r="Z25" s="15" t="n"/>
    </row>
    <row r="26">
      <c r="A26" s="10" t="n">
        <v>22</v>
      </c>
      <c r="B26" s="5" t="n"/>
      <c r="C26" s="11" t="n"/>
      <c r="D26" s="5" t="n"/>
      <c r="E26" s="12" t="n"/>
    </row>
    <row r="27">
      <c r="A27" s="10" t="n">
        <v>23</v>
      </c>
      <c r="B27" s="5" t="n"/>
      <c r="C27" s="11" t="n"/>
      <c r="D27" s="5" t="n"/>
      <c r="E27" s="12" t="n"/>
    </row>
    <row r="28">
      <c r="A28" s="10" t="n">
        <v>24</v>
      </c>
      <c r="B28" s="5" t="n"/>
      <c r="C28" s="11" t="n"/>
      <c r="D28" s="5" t="n"/>
      <c r="E28" s="12" t="n"/>
    </row>
    <row r="29">
      <c r="A29" s="10" t="n">
        <v>25</v>
      </c>
      <c r="B29" s="5" t="n"/>
      <c r="C29" s="11" t="n"/>
      <c r="D29" s="5" t="n"/>
      <c r="E29" s="12" t="n"/>
    </row>
    <row r="30">
      <c r="A30" s="10" t="n">
        <v>26</v>
      </c>
      <c r="B30" s="5" t="n"/>
      <c r="C30" s="11" t="n"/>
      <c r="D30" s="5" t="n"/>
      <c r="E30" s="12" t="n"/>
    </row>
    <row r="31">
      <c r="A31" s="10" t="n">
        <v>27</v>
      </c>
      <c r="B31" s="5" t="n"/>
      <c r="C31" s="11" t="n"/>
      <c r="D31" s="5" t="n"/>
      <c r="E31" s="12" t="n"/>
    </row>
    <row r="32">
      <c r="A32" s="10" t="n">
        <v>28</v>
      </c>
      <c r="B32" s="5" t="n"/>
      <c r="C32" s="11" t="n"/>
      <c r="D32" s="5" t="n"/>
      <c r="E32" s="12" t="n"/>
    </row>
    <row r="33">
      <c r="A33" s="10" t="n">
        <v>29</v>
      </c>
      <c r="B33" s="5" t="n"/>
      <c r="C33" s="11" t="n"/>
      <c r="D33" s="5" t="n"/>
      <c r="E33" s="12" t="n"/>
    </row>
    <row r="34">
      <c r="A34" s="10" t="n">
        <v>30</v>
      </c>
      <c r="B34" s="5" t="n"/>
      <c r="C34" s="11" t="n"/>
      <c r="D34" s="5" t="n"/>
      <c r="E34" s="12" t="n"/>
    </row>
    <row r="35">
      <c r="A35" s="10" t="n">
        <v>31</v>
      </c>
      <c r="B35" s="5" t="n"/>
      <c r="C35" s="11" t="n"/>
      <c r="D35" s="5" t="n"/>
      <c r="E35" s="12" t="n"/>
    </row>
    <row r="36">
      <c r="A36" s="10" t="n">
        <v>32</v>
      </c>
      <c r="B36" s="5" t="n"/>
      <c r="C36" s="11" t="n"/>
      <c r="D36" s="5" t="n"/>
      <c r="E36" s="12" t="n"/>
    </row>
  </sheetData>
  <sheetProtection selectLockedCells="0" selectUnlockedCells="0" sheet="1" objects="0" insertRows="1" insertHyperlinks="1" autoFilter="1" scenarios="0" formatColumns="1" deleteColumns="1" insertColumns="1" pivotTables="1" deleteRows="1" formatCells="1" formatRows="1" sort="1"/>
  <mergeCells count="31">
    <mergeCell ref="W4:X4"/>
    <mergeCell ref="O3:P3"/>
    <mergeCell ref="K25:L25"/>
    <mergeCell ref="Q25:R25"/>
    <mergeCell ref="Q3:R3"/>
    <mergeCell ref="Y4:Z4"/>
    <mergeCell ref="S25:T25"/>
    <mergeCell ref="Y3:Z3"/>
    <mergeCell ref="W25:X25"/>
    <mergeCell ref="S3:T3"/>
    <mergeCell ref="I25:J25"/>
    <mergeCell ref="U25:V25"/>
    <mergeCell ref="O4:P4"/>
    <mergeCell ref="W3:X3"/>
    <mergeCell ref="G3:H3"/>
    <mergeCell ref="Q4:R4"/>
    <mergeCell ref="I3:J3"/>
    <mergeCell ref="M25:N25"/>
    <mergeCell ref="O25:P25"/>
    <mergeCell ref="U3:V3"/>
    <mergeCell ref="Y25:Z25"/>
    <mergeCell ref="M3:N3"/>
    <mergeCell ref="G4:H4"/>
    <mergeCell ref="B1:E1"/>
    <mergeCell ref="I4:J4"/>
    <mergeCell ref="G25:H25"/>
    <mergeCell ref="K4:L4"/>
    <mergeCell ref="M4:N4"/>
    <mergeCell ref="S4:T4"/>
    <mergeCell ref="K3:L3"/>
    <mergeCell ref="U4:V4"/>
  </mergeCells>
  <conditionalFormatting sqref="H6:H23">
    <cfRule type="expression" priority="1" dxfId="0" stopIfTrue="0">
      <formula>AND(H6&lt;&gt;"",COUNTIF(H$6:H$23,H6)&gt;1)</formula>
    </cfRule>
  </conditionalFormatting>
  <conditionalFormatting sqref="J6:J23">
    <cfRule type="expression" priority="2" dxfId="0" stopIfTrue="0">
      <formula>AND(J6&lt;&gt;"",COUNTIF(J$6:J$23,J6)&gt;1)</formula>
    </cfRule>
  </conditionalFormatting>
  <conditionalFormatting sqref="L6:L23">
    <cfRule type="expression" priority="3" dxfId="0" stopIfTrue="0">
      <formula>AND(L6&lt;&gt;"",COUNTIF(L$6:L$23,L6)&gt;1)</formula>
    </cfRule>
  </conditionalFormatting>
  <conditionalFormatting sqref="N6:N23">
    <cfRule type="expression" priority="4" dxfId="0" stopIfTrue="0">
      <formula>AND(N6&lt;&gt;"",COUNTIF(N$6:N$23,N6)&gt;1)</formula>
    </cfRule>
  </conditionalFormatting>
  <conditionalFormatting sqref="P6:P23">
    <cfRule type="expression" priority="5" dxfId="0" stopIfTrue="0">
      <formula>AND(P6&lt;&gt;"",COUNTIF(P$6:P$23,P6)&gt;1)</formula>
    </cfRule>
  </conditionalFormatting>
  <conditionalFormatting sqref="R6:R23">
    <cfRule type="expression" priority="6" dxfId="0" stopIfTrue="0">
      <formula>AND(R6&lt;&gt;"",COUNTIF(R$6:R$23,R6)&gt;1)</formula>
    </cfRule>
  </conditionalFormatting>
  <conditionalFormatting sqref="T6:T23">
    <cfRule type="expression" priority="7" dxfId="0" stopIfTrue="0">
      <formula>AND(T6&lt;&gt;"",COUNTIF(T$6:T$23,T6)&gt;1)</formula>
    </cfRule>
  </conditionalFormatting>
  <conditionalFormatting sqref="V6:V23">
    <cfRule type="expression" priority="8" dxfId="0" stopIfTrue="0">
      <formula>AND(V6&lt;&gt;"",COUNTIF(V$6:V$23,V6)&gt;1)</formula>
    </cfRule>
  </conditionalFormatting>
  <conditionalFormatting sqref="X6:X23">
    <cfRule type="expression" priority="9" dxfId="0" stopIfTrue="0">
      <formula>AND(X6&lt;&gt;"",COUNTIF(X$6:X$23,X6)&gt;1)</formula>
    </cfRule>
  </conditionalFormatting>
  <conditionalFormatting sqref="Z6:Z23">
    <cfRule type="expression" priority="10" dxfId="0" stopIfTrue="0">
      <formula>AND(Z6&lt;&gt;"",COUNTIF(Z$6:Z$23,Z6)&gt;1)</formula>
    </cfRule>
  </conditionalFormatting>
  <conditionalFormatting sqref="G25:Z25">
    <cfRule type="expression" priority="11" dxfId="0" stopIfTrue="0">
      <formula>G25="CHECK"</formula>
    </cfRule>
  </conditionalFormatting>
  <dataValidations count="3">
    <dataValidation sqref="E5:E36" showDropDown="0" showInputMessage="0" showErrorMessage="1" allowBlank="1" errorTitle="Invalid handicap" error="Starting handicap must be between -5 and 54." type="decimal" operator="between">
      <formula1>-5</formula1>
      <formula2>54</formula2>
    </dataValidation>
    <dataValidation sqref="G6:G23 I6:I23 K6:K23 M6:M23 O6:O23 Q6:Q23 S6:S23 U6:U23 W6:W23 Y6:Y23" showDropDown="0" showInputMessage="0" showErrorMessage="1" allowBlank="1" errorTitle="Invalid par" error="Par must be a whole number between 3 and 6." type="whole" operator="between">
      <formula1>3</formula1>
      <formula2>6</formula2>
    </dataValidation>
    <dataValidation sqref="H6:H23 J6:J23 L6:L23 N6:N23 P6:P23 R6:R23 T6:T23 V6:V23 X6:X23 Z6:Z23" showDropDown="0" showInputMessage="0" showErrorMessage="1" allowBlank="1" errorTitle="Invalid stroke index" error="Stroke index must be a whole number 1-18." type="whole" operator="between">
      <formula1>1</formula1>
      <formula2>18</formula2>
    </dataValidation>
  </dataValidations>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Y3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8"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hidden="1" width="13" customWidth="1" min="25" max="25"/>
  </cols>
  <sheetData>
    <row r="1">
      <c r="A1" s="1" t="inlineStr">
        <is>
          <t>Leaderboard</t>
        </is>
      </c>
      <c r="Y1">
        <f>MAX(('Round 1'!$S$31&gt;0)*1,('Round 2'!$S$31&gt;0)*2,('Round 3'!$S$31&gt;0)*3,('Round 4'!$S$31&gt;0)*4,('Round 5'!$S$31&gt;0)*5,('Round 6'!$S$31&gt;0)*6,('Round 7'!$S$31&gt;0)*7,('Round 8'!$S$31&gt;0)*8,('Round 9'!$S$31&gt;0)*9,('Round 10'!$S$31&gt;0)*10)</f>
        <v/>
      </c>
    </row>
    <row r="2">
      <c r="A2" s="8" t="inlineStr">
        <is>
          <t>Pos</t>
        </is>
      </c>
      <c r="B2" s="8" t="inlineStr">
        <is>
          <t>Player</t>
        </is>
      </c>
      <c r="C2" s="8" t="inlineStr">
        <is>
          <t>Total</t>
        </is>
      </c>
      <c r="D2" s="8" t="inlineStr">
        <is>
          <t>Rd 1</t>
        </is>
      </c>
      <c r="E2" s="8" t="inlineStr">
        <is>
          <t>Pos</t>
        </is>
      </c>
      <c r="F2" s="8" t="inlineStr">
        <is>
          <t>Rd 2</t>
        </is>
      </c>
      <c r="G2" s="8" t="inlineStr">
        <is>
          <t>Pos</t>
        </is>
      </c>
      <c r="H2" s="8" t="inlineStr">
        <is>
          <t>Rd 3</t>
        </is>
      </c>
      <c r="I2" s="8" t="inlineStr">
        <is>
          <t>Pos</t>
        </is>
      </c>
      <c r="J2" s="8" t="inlineStr">
        <is>
          <t>Rd 4</t>
        </is>
      </c>
      <c r="K2" s="8" t="inlineStr">
        <is>
          <t>Pos</t>
        </is>
      </c>
      <c r="L2" s="8" t="inlineStr">
        <is>
          <t>Rd 5</t>
        </is>
      </c>
      <c r="M2" s="8" t="inlineStr">
        <is>
          <t>Pos</t>
        </is>
      </c>
      <c r="N2" s="8" t="inlineStr">
        <is>
          <t>Rd 6</t>
        </is>
      </c>
      <c r="O2" s="8" t="inlineStr">
        <is>
          <t>Pos</t>
        </is>
      </c>
      <c r="P2" s="8" t="inlineStr">
        <is>
          <t>Rd 7</t>
        </is>
      </c>
      <c r="Q2" s="8" t="inlineStr">
        <is>
          <t>Pos</t>
        </is>
      </c>
      <c r="R2" s="8" t="inlineStr">
        <is>
          <t>Rd 8</t>
        </is>
      </c>
      <c r="S2" s="8" t="inlineStr">
        <is>
          <t>Pos</t>
        </is>
      </c>
      <c r="T2" s="8" t="inlineStr">
        <is>
          <t>Rd 9</t>
        </is>
      </c>
      <c r="U2" s="8" t="inlineStr">
        <is>
          <t>Pos</t>
        </is>
      </c>
      <c r="V2" s="8" t="inlineStr">
        <is>
          <t>Rd 10</t>
        </is>
      </c>
      <c r="W2" s="8" t="inlineStr">
        <is>
          <t>Pos</t>
        </is>
      </c>
    </row>
    <row r="3">
      <c r="A3" s="16">
        <f>IF($B3="","",1+SUMPRODUCT(($B$3:$B$34&lt;&gt;"")*(($C$3:$C$34&gt;C3)+(($C$3:$C$34=C3)*($Y$3:$Y$34&gt;Y3)))))</f>
        <v/>
      </c>
      <c r="B3" s="17">
        <f>IF(Setup!B5="","",Setup!B5)</f>
        <v/>
      </c>
      <c r="C3" s="16">
        <f>IF($B3="","",SUM(D3,F3,H3,J3,L3,N3,P3,R3,T3,V3))</f>
        <v/>
      </c>
      <c r="D3" s="18">
        <f>IF($B3="","",IF('Round 1'!$S$31=0,"",'Round 1'!$F$32))</f>
        <v/>
      </c>
      <c r="E3" s="18">
        <f>IF($B3="","",IF('Round 1'!$S$31=0,"",'Round 1'!$Q$32))</f>
        <v/>
      </c>
      <c r="F3" s="18">
        <f>IF($B3="","",IF('Round 2'!$S$31=0,"",'Round 2'!$F$32))</f>
        <v/>
      </c>
      <c r="G3" s="18">
        <f>IF($B3="","",IF('Round 2'!$S$31=0,"",'Round 2'!$Q$32))</f>
        <v/>
      </c>
      <c r="H3" s="18">
        <f>IF($B3="","",IF('Round 3'!$S$31=0,"",'Round 3'!$F$32))</f>
        <v/>
      </c>
      <c r="I3" s="18">
        <f>IF($B3="","",IF('Round 3'!$S$31=0,"",'Round 3'!$Q$32))</f>
        <v/>
      </c>
      <c r="J3" s="18">
        <f>IF($B3="","",IF('Round 4'!$S$31=0,"",'Round 4'!$F$32))</f>
        <v/>
      </c>
      <c r="K3" s="18">
        <f>IF($B3="","",IF('Round 4'!$S$31=0,"",'Round 4'!$Q$32))</f>
        <v/>
      </c>
      <c r="L3" s="18">
        <f>IF($B3="","",IF('Round 5'!$S$31=0,"",'Round 5'!$F$32))</f>
        <v/>
      </c>
      <c r="M3" s="18">
        <f>IF($B3="","",IF('Round 5'!$S$31=0,"",'Round 5'!$Q$32))</f>
        <v/>
      </c>
      <c r="N3" s="18">
        <f>IF($B3="","",IF('Round 6'!$S$31=0,"",'Round 6'!$F$32))</f>
        <v/>
      </c>
      <c r="O3" s="18">
        <f>IF($B3="","",IF('Round 6'!$S$31=0,"",'Round 6'!$Q$32))</f>
        <v/>
      </c>
      <c r="P3" s="18">
        <f>IF($B3="","",IF('Round 7'!$S$31=0,"",'Round 7'!$F$32))</f>
        <v/>
      </c>
      <c r="Q3" s="18">
        <f>IF($B3="","",IF('Round 7'!$S$31=0,"",'Round 7'!$Q$32))</f>
        <v/>
      </c>
      <c r="R3" s="18">
        <f>IF($B3="","",IF('Round 8'!$S$31=0,"",'Round 8'!$F$32))</f>
        <v/>
      </c>
      <c r="S3" s="18">
        <f>IF($B3="","",IF('Round 8'!$S$31=0,"",'Round 8'!$Q$32))</f>
        <v/>
      </c>
      <c r="T3" s="18">
        <f>IF($B3="","",IF('Round 9'!$S$31=0,"",'Round 9'!$F$32))</f>
        <v/>
      </c>
      <c r="U3" s="18">
        <f>IF($B3="","",IF('Round 9'!$S$31=0,"",'Round 9'!$Q$32))</f>
        <v/>
      </c>
      <c r="V3" s="18">
        <f>IF($B3="","",IF('Round 10'!$S$31=0,"",'Round 10'!$F$32))</f>
        <v/>
      </c>
      <c r="W3" s="18">
        <f>IF($B3="","",IF('Round 10'!$S$31=0,"",'Round 10'!$Q$32))</f>
        <v/>
      </c>
      <c r="Y3">
        <f>IF(OR($B3="",$Y$1=0),0,CHOOSE($Y$1,'Round 1'!$P$32,'Round 2'!$P$32,'Round 3'!$P$32,'Round 4'!$P$32,'Round 5'!$P$32,'Round 6'!$P$32,'Round 7'!$P$32,'Round 8'!$P$32,'Round 9'!$P$32,'Round 10'!$P$32))</f>
        <v/>
      </c>
    </row>
    <row r="4">
      <c r="A4" s="16">
        <f>IF($B4="","",1+SUMPRODUCT(($B$3:$B$34&lt;&gt;"")*(($C$3:$C$34&gt;C4)+(($C$3:$C$34=C4)*($Y$3:$Y$34&gt;Y4)))))</f>
        <v/>
      </c>
      <c r="B4" s="17">
        <f>IF(Setup!B6="","",Setup!B6)</f>
        <v/>
      </c>
      <c r="C4" s="16">
        <f>IF($B4="","",SUM(D4,F4,H4,J4,L4,N4,P4,R4,T4,V4))</f>
        <v/>
      </c>
      <c r="D4" s="18">
        <f>IF($B4="","",IF('Round 1'!$S$31=0,"",'Round 1'!$F$33))</f>
        <v/>
      </c>
      <c r="E4" s="18">
        <f>IF($B4="","",IF('Round 1'!$S$31=0,"",'Round 1'!$Q$33))</f>
        <v/>
      </c>
      <c r="F4" s="18">
        <f>IF($B4="","",IF('Round 2'!$S$31=0,"",'Round 2'!$F$33))</f>
        <v/>
      </c>
      <c r="G4" s="18">
        <f>IF($B4="","",IF('Round 2'!$S$31=0,"",'Round 2'!$Q$33))</f>
        <v/>
      </c>
      <c r="H4" s="18">
        <f>IF($B4="","",IF('Round 3'!$S$31=0,"",'Round 3'!$F$33))</f>
        <v/>
      </c>
      <c r="I4" s="18">
        <f>IF($B4="","",IF('Round 3'!$S$31=0,"",'Round 3'!$Q$33))</f>
        <v/>
      </c>
      <c r="J4" s="18">
        <f>IF($B4="","",IF('Round 4'!$S$31=0,"",'Round 4'!$F$33))</f>
        <v/>
      </c>
      <c r="K4" s="18">
        <f>IF($B4="","",IF('Round 4'!$S$31=0,"",'Round 4'!$Q$33))</f>
        <v/>
      </c>
      <c r="L4" s="18">
        <f>IF($B4="","",IF('Round 5'!$S$31=0,"",'Round 5'!$F$33))</f>
        <v/>
      </c>
      <c r="M4" s="18">
        <f>IF($B4="","",IF('Round 5'!$S$31=0,"",'Round 5'!$Q$33))</f>
        <v/>
      </c>
      <c r="N4" s="18">
        <f>IF($B4="","",IF('Round 6'!$S$31=0,"",'Round 6'!$F$33))</f>
        <v/>
      </c>
      <c r="O4" s="18">
        <f>IF($B4="","",IF('Round 6'!$S$31=0,"",'Round 6'!$Q$33))</f>
        <v/>
      </c>
      <c r="P4" s="18">
        <f>IF($B4="","",IF('Round 7'!$S$31=0,"",'Round 7'!$F$33))</f>
        <v/>
      </c>
      <c r="Q4" s="18">
        <f>IF($B4="","",IF('Round 7'!$S$31=0,"",'Round 7'!$Q$33))</f>
        <v/>
      </c>
      <c r="R4" s="18">
        <f>IF($B4="","",IF('Round 8'!$S$31=0,"",'Round 8'!$F$33))</f>
        <v/>
      </c>
      <c r="S4" s="18">
        <f>IF($B4="","",IF('Round 8'!$S$31=0,"",'Round 8'!$Q$33))</f>
        <v/>
      </c>
      <c r="T4" s="18">
        <f>IF($B4="","",IF('Round 9'!$S$31=0,"",'Round 9'!$F$33))</f>
        <v/>
      </c>
      <c r="U4" s="18">
        <f>IF($B4="","",IF('Round 9'!$S$31=0,"",'Round 9'!$Q$33))</f>
        <v/>
      </c>
      <c r="V4" s="18">
        <f>IF($B4="","",IF('Round 10'!$S$31=0,"",'Round 10'!$F$33))</f>
        <v/>
      </c>
      <c r="W4" s="18">
        <f>IF($B4="","",IF('Round 10'!$S$31=0,"",'Round 10'!$Q$33))</f>
        <v/>
      </c>
      <c r="Y4">
        <f>IF(OR($B4="",$Y$1=0),0,CHOOSE($Y$1,'Round 1'!$P$33,'Round 2'!$P$33,'Round 3'!$P$33,'Round 4'!$P$33,'Round 5'!$P$33,'Round 6'!$P$33,'Round 7'!$P$33,'Round 8'!$P$33,'Round 9'!$P$33,'Round 10'!$P$33))</f>
        <v/>
      </c>
    </row>
    <row r="5">
      <c r="A5" s="16">
        <f>IF($B5="","",1+SUMPRODUCT(($B$3:$B$34&lt;&gt;"")*(($C$3:$C$34&gt;C5)+(($C$3:$C$34=C5)*($Y$3:$Y$34&gt;Y5)))))</f>
        <v/>
      </c>
      <c r="B5" s="17">
        <f>IF(Setup!B7="","",Setup!B7)</f>
        <v/>
      </c>
      <c r="C5" s="16">
        <f>IF($B5="","",SUM(D5,F5,H5,J5,L5,N5,P5,R5,T5,V5))</f>
        <v/>
      </c>
      <c r="D5" s="18">
        <f>IF($B5="","",IF('Round 1'!$S$31=0,"",'Round 1'!$F$34))</f>
        <v/>
      </c>
      <c r="E5" s="18">
        <f>IF($B5="","",IF('Round 1'!$S$31=0,"",'Round 1'!$Q$34))</f>
        <v/>
      </c>
      <c r="F5" s="18">
        <f>IF($B5="","",IF('Round 2'!$S$31=0,"",'Round 2'!$F$34))</f>
        <v/>
      </c>
      <c r="G5" s="18">
        <f>IF($B5="","",IF('Round 2'!$S$31=0,"",'Round 2'!$Q$34))</f>
        <v/>
      </c>
      <c r="H5" s="18">
        <f>IF($B5="","",IF('Round 3'!$S$31=0,"",'Round 3'!$F$34))</f>
        <v/>
      </c>
      <c r="I5" s="18">
        <f>IF($B5="","",IF('Round 3'!$S$31=0,"",'Round 3'!$Q$34))</f>
        <v/>
      </c>
      <c r="J5" s="18">
        <f>IF($B5="","",IF('Round 4'!$S$31=0,"",'Round 4'!$F$34))</f>
        <v/>
      </c>
      <c r="K5" s="18">
        <f>IF($B5="","",IF('Round 4'!$S$31=0,"",'Round 4'!$Q$34))</f>
        <v/>
      </c>
      <c r="L5" s="18">
        <f>IF($B5="","",IF('Round 5'!$S$31=0,"",'Round 5'!$F$34))</f>
        <v/>
      </c>
      <c r="M5" s="18">
        <f>IF($B5="","",IF('Round 5'!$S$31=0,"",'Round 5'!$Q$34))</f>
        <v/>
      </c>
      <c r="N5" s="18">
        <f>IF($B5="","",IF('Round 6'!$S$31=0,"",'Round 6'!$F$34))</f>
        <v/>
      </c>
      <c r="O5" s="18">
        <f>IF($B5="","",IF('Round 6'!$S$31=0,"",'Round 6'!$Q$34))</f>
        <v/>
      </c>
      <c r="P5" s="18">
        <f>IF($B5="","",IF('Round 7'!$S$31=0,"",'Round 7'!$F$34))</f>
        <v/>
      </c>
      <c r="Q5" s="18">
        <f>IF($B5="","",IF('Round 7'!$S$31=0,"",'Round 7'!$Q$34))</f>
        <v/>
      </c>
      <c r="R5" s="18">
        <f>IF($B5="","",IF('Round 8'!$S$31=0,"",'Round 8'!$F$34))</f>
        <v/>
      </c>
      <c r="S5" s="18">
        <f>IF($B5="","",IF('Round 8'!$S$31=0,"",'Round 8'!$Q$34))</f>
        <v/>
      </c>
      <c r="T5" s="18">
        <f>IF($B5="","",IF('Round 9'!$S$31=0,"",'Round 9'!$F$34))</f>
        <v/>
      </c>
      <c r="U5" s="18">
        <f>IF($B5="","",IF('Round 9'!$S$31=0,"",'Round 9'!$Q$34))</f>
        <v/>
      </c>
      <c r="V5" s="18">
        <f>IF($B5="","",IF('Round 10'!$S$31=0,"",'Round 10'!$F$34))</f>
        <v/>
      </c>
      <c r="W5" s="18">
        <f>IF($B5="","",IF('Round 10'!$S$31=0,"",'Round 10'!$Q$34))</f>
        <v/>
      </c>
      <c r="Y5">
        <f>IF(OR($B5="",$Y$1=0),0,CHOOSE($Y$1,'Round 1'!$P$34,'Round 2'!$P$34,'Round 3'!$P$34,'Round 4'!$P$34,'Round 5'!$P$34,'Round 6'!$P$34,'Round 7'!$P$34,'Round 8'!$P$34,'Round 9'!$P$34,'Round 10'!$P$34))</f>
        <v/>
      </c>
    </row>
    <row r="6">
      <c r="A6" s="16">
        <f>IF($B6="","",1+SUMPRODUCT(($B$3:$B$34&lt;&gt;"")*(($C$3:$C$34&gt;C6)+(($C$3:$C$34=C6)*($Y$3:$Y$34&gt;Y6)))))</f>
        <v/>
      </c>
      <c r="B6" s="17">
        <f>IF(Setup!B8="","",Setup!B8)</f>
        <v/>
      </c>
      <c r="C6" s="16">
        <f>IF($B6="","",SUM(D6,F6,H6,J6,L6,N6,P6,R6,T6,V6))</f>
        <v/>
      </c>
      <c r="D6" s="18">
        <f>IF($B6="","",IF('Round 1'!$S$31=0,"",'Round 1'!$F$35))</f>
        <v/>
      </c>
      <c r="E6" s="18">
        <f>IF($B6="","",IF('Round 1'!$S$31=0,"",'Round 1'!$Q$35))</f>
        <v/>
      </c>
      <c r="F6" s="18">
        <f>IF($B6="","",IF('Round 2'!$S$31=0,"",'Round 2'!$F$35))</f>
        <v/>
      </c>
      <c r="G6" s="18">
        <f>IF($B6="","",IF('Round 2'!$S$31=0,"",'Round 2'!$Q$35))</f>
        <v/>
      </c>
      <c r="H6" s="18">
        <f>IF($B6="","",IF('Round 3'!$S$31=0,"",'Round 3'!$F$35))</f>
        <v/>
      </c>
      <c r="I6" s="18">
        <f>IF($B6="","",IF('Round 3'!$S$31=0,"",'Round 3'!$Q$35))</f>
        <v/>
      </c>
      <c r="J6" s="18">
        <f>IF($B6="","",IF('Round 4'!$S$31=0,"",'Round 4'!$F$35))</f>
        <v/>
      </c>
      <c r="K6" s="18">
        <f>IF($B6="","",IF('Round 4'!$S$31=0,"",'Round 4'!$Q$35))</f>
        <v/>
      </c>
      <c r="L6" s="18">
        <f>IF($B6="","",IF('Round 5'!$S$31=0,"",'Round 5'!$F$35))</f>
        <v/>
      </c>
      <c r="M6" s="18">
        <f>IF($B6="","",IF('Round 5'!$S$31=0,"",'Round 5'!$Q$35))</f>
        <v/>
      </c>
      <c r="N6" s="18">
        <f>IF($B6="","",IF('Round 6'!$S$31=0,"",'Round 6'!$F$35))</f>
        <v/>
      </c>
      <c r="O6" s="18">
        <f>IF($B6="","",IF('Round 6'!$S$31=0,"",'Round 6'!$Q$35))</f>
        <v/>
      </c>
      <c r="P6" s="18">
        <f>IF($B6="","",IF('Round 7'!$S$31=0,"",'Round 7'!$F$35))</f>
        <v/>
      </c>
      <c r="Q6" s="18">
        <f>IF($B6="","",IF('Round 7'!$S$31=0,"",'Round 7'!$Q$35))</f>
        <v/>
      </c>
      <c r="R6" s="18">
        <f>IF($B6="","",IF('Round 8'!$S$31=0,"",'Round 8'!$F$35))</f>
        <v/>
      </c>
      <c r="S6" s="18">
        <f>IF($B6="","",IF('Round 8'!$S$31=0,"",'Round 8'!$Q$35))</f>
        <v/>
      </c>
      <c r="T6" s="18">
        <f>IF($B6="","",IF('Round 9'!$S$31=0,"",'Round 9'!$F$35))</f>
        <v/>
      </c>
      <c r="U6" s="18">
        <f>IF($B6="","",IF('Round 9'!$S$31=0,"",'Round 9'!$Q$35))</f>
        <v/>
      </c>
      <c r="V6" s="18">
        <f>IF($B6="","",IF('Round 10'!$S$31=0,"",'Round 10'!$F$35))</f>
        <v/>
      </c>
      <c r="W6" s="18">
        <f>IF($B6="","",IF('Round 10'!$S$31=0,"",'Round 10'!$Q$35))</f>
        <v/>
      </c>
      <c r="Y6">
        <f>IF(OR($B6="",$Y$1=0),0,CHOOSE($Y$1,'Round 1'!$P$35,'Round 2'!$P$35,'Round 3'!$P$35,'Round 4'!$P$35,'Round 5'!$P$35,'Round 6'!$P$35,'Round 7'!$P$35,'Round 8'!$P$35,'Round 9'!$P$35,'Round 10'!$P$35))</f>
        <v/>
      </c>
    </row>
    <row r="7">
      <c r="A7" s="16">
        <f>IF($B7="","",1+SUMPRODUCT(($B$3:$B$34&lt;&gt;"")*(($C$3:$C$34&gt;C7)+(($C$3:$C$34=C7)*($Y$3:$Y$34&gt;Y7)))))</f>
        <v/>
      </c>
      <c r="B7" s="17">
        <f>IF(Setup!B9="","",Setup!B9)</f>
        <v/>
      </c>
      <c r="C7" s="16">
        <f>IF($B7="","",SUM(D7,F7,H7,J7,L7,N7,P7,R7,T7,V7))</f>
        <v/>
      </c>
      <c r="D7" s="18">
        <f>IF($B7="","",IF('Round 1'!$S$31=0,"",'Round 1'!$F$36))</f>
        <v/>
      </c>
      <c r="E7" s="18">
        <f>IF($B7="","",IF('Round 1'!$S$31=0,"",'Round 1'!$Q$36))</f>
        <v/>
      </c>
      <c r="F7" s="18">
        <f>IF($B7="","",IF('Round 2'!$S$31=0,"",'Round 2'!$F$36))</f>
        <v/>
      </c>
      <c r="G7" s="18">
        <f>IF($B7="","",IF('Round 2'!$S$31=0,"",'Round 2'!$Q$36))</f>
        <v/>
      </c>
      <c r="H7" s="18">
        <f>IF($B7="","",IF('Round 3'!$S$31=0,"",'Round 3'!$F$36))</f>
        <v/>
      </c>
      <c r="I7" s="18">
        <f>IF($B7="","",IF('Round 3'!$S$31=0,"",'Round 3'!$Q$36))</f>
        <v/>
      </c>
      <c r="J7" s="18">
        <f>IF($B7="","",IF('Round 4'!$S$31=0,"",'Round 4'!$F$36))</f>
        <v/>
      </c>
      <c r="K7" s="18">
        <f>IF($B7="","",IF('Round 4'!$S$31=0,"",'Round 4'!$Q$36))</f>
        <v/>
      </c>
      <c r="L7" s="18">
        <f>IF($B7="","",IF('Round 5'!$S$31=0,"",'Round 5'!$F$36))</f>
        <v/>
      </c>
      <c r="M7" s="18">
        <f>IF($B7="","",IF('Round 5'!$S$31=0,"",'Round 5'!$Q$36))</f>
        <v/>
      </c>
      <c r="N7" s="18">
        <f>IF($B7="","",IF('Round 6'!$S$31=0,"",'Round 6'!$F$36))</f>
        <v/>
      </c>
      <c r="O7" s="18">
        <f>IF($B7="","",IF('Round 6'!$S$31=0,"",'Round 6'!$Q$36))</f>
        <v/>
      </c>
      <c r="P7" s="18">
        <f>IF($B7="","",IF('Round 7'!$S$31=0,"",'Round 7'!$F$36))</f>
        <v/>
      </c>
      <c r="Q7" s="18">
        <f>IF($B7="","",IF('Round 7'!$S$31=0,"",'Round 7'!$Q$36))</f>
        <v/>
      </c>
      <c r="R7" s="18">
        <f>IF($B7="","",IF('Round 8'!$S$31=0,"",'Round 8'!$F$36))</f>
        <v/>
      </c>
      <c r="S7" s="18">
        <f>IF($B7="","",IF('Round 8'!$S$31=0,"",'Round 8'!$Q$36))</f>
        <v/>
      </c>
      <c r="T7" s="18">
        <f>IF($B7="","",IF('Round 9'!$S$31=0,"",'Round 9'!$F$36))</f>
        <v/>
      </c>
      <c r="U7" s="18">
        <f>IF($B7="","",IF('Round 9'!$S$31=0,"",'Round 9'!$Q$36))</f>
        <v/>
      </c>
      <c r="V7" s="18">
        <f>IF($B7="","",IF('Round 10'!$S$31=0,"",'Round 10'!$F$36))</f>
        <v/>
      </c>
      <c r="W7" s="18">
        <f>IF($B7="","",IF('Round 10'!$S$31=0,"",'Round 10'!$Q$36))</f>
        <v/>
      </c>
      <c r="Y7">
        <f>IF(OR($B7="",$Y$1=0),0,CHOOSE($Y$1,'Round 1'!$P$36,'Round 2'!$P$36,'Round 3'!$P$36,'Round 4'!$P$36,'Round 5'!$P$36,'Round 6'!$P$36,'Round 7'!$P$36,'Round 8'!$P$36,'Round 9'!$P$36,'Round 10'!$P$36))</f>
        <v/>
      </c>
    </row>
    <row r="8">
      <c r="A8" s="16">
        <f>IF($B8="","",1+SUMPRODUCT(($B$3:$B$34&lt;&gt;"")*(($C$3:$C$34&gt;C8)+(($C$3:$C$34=C8)*($Y$3:$Y$34&gt;Y8)))))</f>
        <v/>
      </c>
      <c r="B8" s="17">
        <f>IF(Setup!B10="","",Setup!B10)</f>
        <v/>
      </c>
      <c r="C8" s="16">
        <f>IF($B8="","",SUM(D8,F8,H8,J8,L8,N8,P8,R8,T8,V8))</f>
        <v/>
      </c>
      <c r="D8" s="18">
        <f>IF($B8="","",IF('Round 1'!$S$31=0,"",'Round 1'!$F$37))</f>
        <v/>
      </c>
      <c r="E8" s="18">
        <f>IF($B8="","",IF('Round 1'!$S$31=0,"",'Round 1'!$Q$37))</f>
        <v/>
      </c>
      <c r="F8" s="18">
        <f>IF($B8="","",IF('Round 2'!$S$31=0,"",'Round 2'!$F$37))</f>
        <v/>
      </c>
      <c r="G8" s="18">
        <f>IF($B8="","",IF('Round 2'!$S$31=0,"",'Round 2'!$Q$37))</f>
        <v/>
      </c>
      <c r="H8" s="18">
        <f>IF($B8="","",IF('Round 3'!$S$31=0,"",'Round 3'!$F$37))</f>
        <v/>
      </c>
      <c r="I8" s="18">
        <f>IF($B8="","",IF('Round 3'!$S$31=0,"",'Round 3'!$Q$37))</f>
        <v/>
      </c>
      <c r="J8" s="18">
        <f>IF($B8="","",IF('Round 4'!$S$31=0,"",'Round 4'!$F$37))</f>
        <v/>
      </c>
      <c r="K8" s="18">
        <f>IF($B8="","",IF('Round 4'!$S$31=0,"",'Round 4'!$Q$37))</f>
        <v/>
      </c>
      <c r="L8" s="18">
        <f>IF($B8="","",IF('Round 5'!$S$31=0,"",'Round 5'!$F$37))</f>
        <v/>
      </c>
      <c r="M8" s="18">
        <f>IF($B8="","",IF('Round 5'!$S$31=0,"",'Round 5'!$Q$37))</f>
        <v/>
      </c>
      <c r="N8" s="18">
        <f>IF($B8="","",IF('Round 6'!$S$31=0,"",'Round 6'!$F$37))</f>
        <v/>
      </c>
      <c r="O8" s="18">
        <f>IF($B8="","",IF('Round 6'!$S$31=0,"",'Round 6'!$Q$37))</f>
        <v/>
      </c>
      <c r="P8" s="18">
        <f>IF($B8="","",IF('Round 7'!$S$31=0,"",'Round 7'!$F$37))</f>
        <v/>
      </c>
      <c r="Q8" s="18">
        <f>IF($B8="","",IF('Round 7'!$S$31=0,"",'Round 7'!$Q$37))</f>
        <v/>
      </c>
      <c r="R8" s="18">
        <f>IF($B8="","",IF('Round 8'!$S$31=0,"",'Round 8'!$F$37))</f>
        <v/>
      </c>
      <c r="S8" s="18">
        <f>IF($B8="","",IF('Round 8'!$S$31=0,"",'Round 8'!$Q$37))</f>
        <v/>
      </c>
      <c r="T8" s="18">
        <f>IF($B8="","",IF('Round 9'!$S$31=0,"",'Round 9'!$F$37))</f>
        <v/>
      </c>
      <c r="U8" s="18">
        <f>IF($B8="","",IF('Round 9'!$S$31=0,"",'Round 9'!$Q$37))</f>
        <v/>
      </c>
      <c r="V8" s="18">
        <f>IF($B8="","",IF('Round 10'!$S$31=0,"",'Round 10'!$F$37))</f>
        <v/>
      </c>
      <c r="W8" s="18">
        <f>IF($B8="","",IF('Round 10'!$S$31=0,"",'Round 10'!$Q$37))</f>
        <v/>
      </c>
      <c r="Y8">
        <f>IF(OR($B8="",$Y$1=0),0,CHOOSE($Y$1,'Round 1'!$P$37,'Round 2'!$P$37,'Round 3'!$P$37,'Round 4'!$P$37,'Round 5'!$P$37,'Round 6'!$P$37,'Round 7'!$P$37,'Round 8'!$P$37,'Round 9'!$P$37,'Round 10'!$P$37))</f>
        <v/>
      </c>
    </row>
    <row r="9">
      <c r="A9" s="16">
        <f>IF($B9="","",1+SUMPRODUCT(($B$3:$B$34&lt;&gt;"")*(($C$3:$C$34&gt;C9)+(($C$3:$C$34=C9)*($Y$3:$Y$34&gt;Y9)))))</f>
        <v/>
      </c>
      <c r="B9" s="17">
        <f>IF(Setup!B11="","",Setup!B11)</f>
        <v/>
      </c>
      <c r="C9" s="16">
        <f>IF($B9="","",SUM(D9,F9,H9,J9,L9,N9,P9,R9,T9,V9))</f>
        <v/>
      </c>
      <c r="D9" s="18">
        <f>IF($B9="","",IF('Round 1'!$S$31=0,"",'Round 1'!$F$38))</f>
        <v/>
      </c>
      <c r="E9" s="18">
        <f>IF($B9="","",IF('Round 1'!$S$31=0,"",'Round 1'!$Q$38))</f>
        <v/>
      </c>
      <c r="F9" s="18">
        <f>IF($B9="","",IF('Round 2'!$S$31=0,"",'Round 2'!$F$38))</f>
        <v/>
      </c>
      <c r="G9" s="18">
        <f>IF($B9="","",IF('Round 2'!$S$31=0,"",'Round 2'!$Q$38))</f>
        <v/>
      </c>
      <c r="H9" s="18">
        <f>IF($B9="","",IF('Round 3'!$S$31=0,"",'Round 3'!$F$38))</f>
        <v/>
      </c>
      <c r="I9" s="18">
        <f>IF($B9="","",IF('Round 3'!$S$31=0,"",'Round 3'!$Q$38))</f>
        <v/>
      </c>
      <c r="J9" s="18">
        <f>IF($B9="","",IF('Round 4'!$S$31=0,"",'Round 4'!$F$38))</f>
        <v/>
      </c>
      <c r="K9" s="18">
        <f>IF($B9="","",IF('Round 4'!$S$31=0,"",'Round 4'!$Q$38))</f>
        <v/>
      </c>
      <c r="L9" s="18">
        <f>IF($B9="","",IF('Round 5'!$S$31=0,"",'Round 5'!$F$38))</f>
        <v/>
      </c>
      <c r="M9" s="18">
        <f>IF($B9="","",IF('Round 5'!$S$31=0,"",'Round 5'!$Q$38))</f>
        <v/>
      </c>
      <c r="N9" s="18">
        <f>IF($B9="","",IF('Round 6'!$S$31=0,"",'Round 6'!$F$38))</f>
        <v/>
      </c>
      <c r="O9" s="18">
        <f>IF($B9="","",IF('Round 6'!$S$31=0,"",'Round 6'!$Q$38))</f>
        <v/>
      </c>
      <c r="P9" s="18">
        <f>IF($B9="","",IF('Round 7'!$S$31=0,"",'Round 7'!$F$38))</f>
        <v/>
      </c>
      <c r="Q9" s="18">
        <f>IF($B9="","",IF('Round 7'!$S$31=0,"",'Round 7'!$Q$38))</f>
        <v/>
      </c>
      <c r="R9" s="18">
        <f>IF($B9="","",IF('Round 8'!$S$31=0,"",'Round 8'!$F$38))</f>
        <v/>
      </c>
      <c r="S9" s="18">
        <f>IF($B9="","",IF('Round 8'!$S$31=0,"",'Round 8'!$Q$38))</f>
        <v/>
      </c>
      <c r="T9" s="18">
        <f>IF($B9="","",IF('Round 9'!$S$31=0,"",'Round 9'!$F$38))</f>
        <v/>
      </c>
      <c r="U9" s="18">
        <f>IF($B9="","",IF('Round 9'!$S$31=0,"",'Round 9'!$Q$38))</f>
        <v/>
      </c>
      <c r="V9" s="18">
        <f>IF($B9="","",IF('Round 10'!$S$31=0,"",'Round 10'!$F$38))</f>
        <v/>
      </c>
      <c r="W9" s="18">
        <f>IF($B9="","",IF('Round 10'!$S$31=0,"",'Round 10'!$Q$38))</f>
        <v/>
      </c>
      <c r="Y9">
        <f>IF(OR($B9="",$Y$1=0),0,CHOOSE($Y$1,'Round 1'!$P$38,'Round 2'!$P$38,'Round 3'!$P$38,'Round 4'!$P$38,'Round 5'!$P$38,'Round 6'!$P$38,'Round 7'!$P$38,'Round 8'!$P$38,'Round 9'!$P$38,'Round 10'!$P$38))</f>
        <v/>
      </c>
    </row>
    <row r="10">
      <c r="A10" s="16">
        <f>IF($B10="","",1+SUMPRODUCT(($B$3:$B$34&lt;&gt;"")*(($C$3:$C$34&gt;C10)+(($C$3:$C$34=C10)*($Y$3:$Y$34&gt;Y10)))))</f>
        <v/>
      </c>
      <c r="B10" s="17">
        <f>IF(Setup!B12="","",Setup!B12)</f>
        <v/>
      </c>
      <c r="C10" s="16">
        <f>IF($B10="","",SUM(D10,F10,H10,J10,L10,N10,P10,R10,T10,V10))</f>
        <v/>
      </c>
      <c r="D10" s="18">
        <f>IF($B10="","",IF('Round 1'!$S$31=0,"",'Round 1'!$F$39))</f>
        <v/>
      </c>
      <c r="E10" s="18">
        <f>IF($B10="","",IF('Round 1'!$S$31=0,"",'Round 1'!$Q$39))</f>
        <v/>
      </c>
      <c r="F10" s="18">
        <f>IF($B10="","",IF('Round 2'!$S$31=0,"",'Round 2'!$F$39))</f>
        <v/>
      </c>
      <c r="G10" s="18">
        <f>IF($B10="","",IF('Round 2'!$S$31=0,"",'Round 2'!$Q$39))</f>
        <v/>
      </c>
      <c r="H10" s="18">
        <f>IF($B10="","",IF('Round 3'!$S$31=0,"",'Round 3'!$F$39))</f>
        <v/>
      </c>
      <c r="I10" s="18">
        <f>IF($B10="","",IF('Round 3'!$S$31=0,"",'Round 3'!$Q$39))</f>
        <v/>
      </c>
      <c r="J10" s="18">
        <f>IF($B10="","",IF('Round 4'!$S$31=0,"",'Round 4'!$F$39))</f>
        <v/>
      </c>
      <c r="K10" s="18">
        <f>IF($B10="","",IF('Round 4'!$S$31=0,"",'Round 4'!$Q$39))</f>
        <v/>
      </c>
      <c r="L10" s="18">
        <f>IF($B10="","",IF('Round 5'!$S$31=0,"",'Round 5'!$F$39))</f>
        <v/>
      </c>
      <c r="M10" s="18">
        <f>IF($B10="","",IF('Round 5'!$S$31=0,"",'Round 5'!$Q$39))</f>
        <v/>
      </c>
      <c r="N10" s="18">
        <f>IF($B10="","",IF('Round 6'!$S$31=0,"",'Round 6'!$F$39))</f>
        <v/>
      </c>
      <c r="O10" s="18">
        <f>IF($B10="","",IF('Round 6'!$S$31=0,"",'Round 6'!$Q$39))</f>
        <v/>
      </c>
      <c r="P10" s="18">
        <f>IF($B10="","",IF('Round 7'!$S$31=0,"",'Round 7'!$F$39))</f>
        <v/>
      </c>
      <c r="Q10" s="18">
        <f>IF($B10="","",IF('Round 7'!$S$31=0,"",'Round 7'!$Q$39))</f>
        <v/>
      </c>
      <c r="R10" s="18">
        <f>IF($B10="","",IF('Round 8'!$S$31=0,"",'Round 8'!$F$39))</f>
        <v/>
      </c>
      <c r="S10" s="18">
        <f>IF($B10="","",IF('Round 8'!$S$31=0,"",'Round 8'!$Q$39))</f>
        <v/>
      </c>
      <c r="T10" s="18">
        <f>IF($B10="","",IF('Round 9'!$S$31=0,"",'Round 9'!$F$39))</f>
        <v/>
      </c>
      <c r="U10" s="18">
        <f>IF($B10="","",IF('Round 9'!$S$31=0,"",'Round 9'!$Q$39))</f>
        <v/>
      </c>
      <c r="V10" s="18">
        <f>IF($B10="","",IF('Round 10'!$S$31=0,"",'Round 10'!$F$39))</f>
        <v/>
      </c>
      <c r="W10" s="18">
        <f>IF($B10="","",IF('Round 10'!$S$31=0,"",'Round 10'!$Q$39))</f>
        <v/>
      </c>
      <c r="Y10">
        <f>IF(OR($B10="",$Y$1=0),0,CHOOSE($Y$1,'Round 1'!$P$39,'Round 2'!$P$39,'Round 3'!$P$39,'Round 4'!$P$39,'Round 5'!$P$39,'Round 6'!$P$39,'Round 7'!$P$39,'Round 8'!$P$39,'Round 9'!$P$39,'Round 10'!$P$39))</f>
        <v/>
      </c>
    </row>
    <row r="11">
      <c r="A11" s="16">
        <f>IF($B11="","",1+SUMPRODUCT(($B$3:$B$34&lt;&gt;"")*(($C$3:$C$34&gt;C11)+(($C$3:$C$34=C11)*($Y$3:$Y$34&gt;Y11)))))</f>
        <v/>
      </c>
      <c r="B11" s="17">
        <f>IF(Setup!B13="","",Setup!B13)</f>
        <v/>
      </c>
      <c r="C11" s="16">
        <f>IF($B11="","",SUM(D11,F11,H11,J11,L11,N11,P11,R11,T11,V11))</f>
        <v/>
      </c>
      <c r="D11" s="18">
        <f>IF($B11="","",IF('Round 1'!$S$31=0,"",'Round 1'!$F$40))</f>
        <v/>
      </c>
      <c r="E11" s="18">
        <f>IF($B11="","",IF('Round 1'!$S$31=0,"",'Round 1'!$Q$40))</f>
        <v/>
      </c>
      <c r="F11" s="18">
        <f>IF($B11="","",IF('Round 2'!$S$31=0,"",'Round 2'!$F$40))</f>
        <v/>
      </c>
      <c r="G11" s="18">
        <f>IF($B11="","",IF('Round 2'!$S$31=0,"",'Round 2'!$Q$40))</f>
        <v/>
      </c>
      <c r="H11" s="18">
        <f>IF($B11="","",IF('Round 3'!$S$31=0,"",'Round 3'!$F$40))</f>
        <v/>
      </c>
      <c r="I11" s="18">
        <f>IF($B11="","",IF('Round 3'!$S$31=0,"",'Round 3'!$Q$40))</f>
        <v/>
      </c>
      <c r="J11" s="18">
        <f>IF($B11="","",IF('Round 4'!$S$31=0,"",'Round 4'!$F$40))</f>
        <v/>
      </c>
      <c r="K11" s="18">
        <f>IF($B11="","",IF('Round 4'!$S$31=0,"",'Round 4'!$Q$40))</f>
        <v/>
      </c>
      <c r="L11" s="18">
        <f>IF($B11="","",IF('Round 5'!$S$31=0,"",'Round 5'!$F$40))</f>
        <v/>
      </c>
      <c r="M11" s="18">
        <f>IF($B11="","",IF('Round 5'!$S$31=0,"",'Round 5'!$Q$40))</f>
        <v/>
      </c>
      <c r="N11" s="18">
        <f>IF($B11="","",IF('Round 6'!$S$31=0,"",'Round 6'!$F$40))</f>
        <v/>
      </c>
      <c r="O11" s="18">
        <f>IF($B11="","",IF('Round 6'!$S$31=0,"",'Round 6'!$Q$40))</f>
        <v/>
      </c>
      <c r="P11" s="18">
        <f>IF($B11="","",IF('Round 7'!$S$31=0,"",'Round 7'!$F$40))</f>
        <v/>
      </c>
      <c r="Q11" s="18">
        <f>IF($B11="","",IF('Round 7'!$S$31=0,"",'Round 7'!$Q$40))</f>
        <v/>
      </c>
      <c r="R11" s="18">
        <f>IF($B11="","",IF('Round 8'!$S$31=0,"",'Round 8'!$F$40))</f>
        <v/>
      </c>
      <c r="S11" s="18">
        <f>IF($B11="","",IF('Round 8'!$S$31=0,"",'Round 8'!$Q$40))</f>
        <v/>
      </c>
      <c r="T11" s="18">
        <f>IF($B11="","",IF('Round 9'!$S$31=0,"",'Round 9'!$F$40))</f>
        <v/>
      </c>
      <c r="U11" s="18">
        <f>IF($B11="","",IF('Round 9'!$S$31=0,"",'Round 9'!$Q$40))</f>
        <v/>
      </c>
      <c r="V11" s="18">
        <f>IF($B11="","",IF('Round 10'!$S$31=0,"",'Round 10'!$F$40))</f>
        <v/>
      </c>
      <c r="W11" s="18">
        <f>IF($B11="","",IF('Round 10'!$S$31=0,"",'Round 10'!$Q$40))</f>
        <v/>
      </c>
      <c r="Y11">
        <f>IF(OR($B11="",$Y$1=0),0,CHOOSE($Y$1,'Round 1'!$P$40,'Round 2'!$P$40,'Round 3'!$P$40,'Round 4'!$P$40,'Round 5'!$P$40,'Round 6'!$P$40,'Round 7'!$P$40,'Round 8'!$P$40,'Round 9'!$P$40,'Round 10'!$P$40))</f>
        <v/>
      </c>
    </row>
    <row r="12">
      <c r="A12" s="16">
        <f>IF($B12="","",1+SUMPRODUCT(($B$3:$B$34&lt;&gt;"")*(($C$3:$C$34&gt;C12)+(($C$3:$C$34=C12)*($Y$3:$Y$34&gt;Y12)))))</f>
        <v/>
      </c>
      <c r="B12" s="17">
        <f>IF(Setup!B14="","",Setup!B14)</f>
        <v/>
      </c>
      <c r="C12" s="16">
        <f>IF($B12="","",SUM(D12,F12,H12,J12,L12,N12,P12,R12,T12,V12))</f>
        <v/>
      </c>
      <c r="D12" s="18">
        <f>IF($B12="","",IF('Round 1'!$S$31=0,"",'Round 1'!$F$41))</f>
        <v/>
      </c>
      <c r="E12" s="18">
        <f>IF($B12="","",IF('Round 1'!$S$31=0,"",'Round 1'!$Q$41))</f>
        <v/>
      </c>
      <c r="F12" s="18">
        <f>IF($B12="","",IF('Round 2'!$S$31=0,"",'Round 2'!$F$41))</f>
        <v/>
      </c>
      <c r="G12" s="18">
        <f>IF($B12="","",IF('Round 2'!$S$31=0,"",'Round 2'!$Q$41))</f>
        <v/>
      </c>
      <c r="H12" s="18">
        <f>IF($B12="","",IF('Round 3'!$S$31=0,"",'Round 3'!$F$41))</f>
        <v/>
      </c>
      <c r="I12" s="18">
        <f>IF($B12="","",IF('Round 3'!$S$31=0,"",'Round 3'!$Q$41))</f>
        <v/>
      </c>
      <c r="J12" s="18">
        <f>IF($B12="","",IF('Round 4'!$S$31=0,"",'Round 4'!$F$41))</f>
        <v/>
      </c>
      <c r="K12" s="18">
        <f>IF($B12="","",IF('Round 4'!$S$31=0,"",'Round 4'!$Q$41))</f>
        <v/>
      </c>
      <c r="L12" s="18">
        <f>IF($B12="","",IF('Round 5'!$S$31=0,"",'Round 5'!$F$41))</f>
        <v/>
      </c>
      <c r="M12" s="18">
        <f>IF($B12="","",IF('Round 5'!$S$31=0,"",'Round 5'!$Q$41))</f>
        <v/>
      </c>
      <c r="N12" s="18">
        <f>IF($B12="","",IF('Round 6'!$S$31=0,"",'Round 6'!$F$41))</f>
        <v/>
      </c>
      <c r="O12" s="18">
        <f>IF($B12="","",IF('Round 6'!$S$31=0,"",'Round 6'!$Q$41))</f>
        <v/>
      </c>
      <c r="P12" s="18">
        <f>IF($B12="","",IF('Round 7'!$S$31=0,"",'Round 7'!$F$41))</f>
        <v/>
      </c>
      <c r="Q12" s="18">
        <f>IF($B12="","",IF('Round 7'!$S$31=0,"",'Round 7'!$Q$41))</f>
        <v/>
      </c>
      <c r="R12" s="18">
        <f>IF($B12="","",IF('Round 8'!$S$31=0,"",'Round 8'!$F$41))</f>
        <v/>
      </c>
      <c r="S12" s="18">
        <f>IF($B12="","",IF('Round 8'!$S$31=0,"",'Round 8'!$Q$41))</f>
        <v/>
      </c>
      <c r="T12" s="18">
        <f>IF($B12="","",IF('Round 9'!$S$31=0,"",'Round 9'!$F$41))</f>
        <v/>
      </c>
      <c r="U12" s="18">
        <f>IF($B12="","",IF('Round 9'!$S$31=0,"",'Round 9'!$Q$41))</f>
        <v/>
      </c>
      <c r="V12" s="18">
        <f>IF($B12="","",IF('Round 10'!$S$31=0,"",'Round 10'!$F$41))</f>
        <v/>
      </c>
      <c r="W12" s="18">
        <f>IF($B12="","",IF('Round 10'!$S$31=0,"",'Round 10'!$Q$41))</f>
        <v/>
      </c>
      <c r="Y12">
        <f>IF(OR($B12="",$Y$1=0),0,CHOOSE($Y$1,'Round 1'!$P$41,'Round 2'!$P$41,'Round 3'!$P$41,'Round 4'!$P$41,'Round 5'!$P$41,'Round 6'!$P$41,'Round 7'!$P$41,'Round 8'!$P$41,'Round 9'!$P$41,'Round 10'!$P$41))</f>
        <v/>
      </c>
    </row>
    <row r="13">
      <c r="A13" s="16">
        <f>IF($B13="","",1+SUMPRODUCT(($B$3:$B$34&lt;&gt;"")*(($C$3:$C$34&gt;C13)+(($C$3:$C$34=C13)*($Y$3:$Y$34&gt;Y13)))))</f>
        <v/>
      </c>
      <c r="B13" s="17">
        <f>IF(Setup!B15="","",Setup!B15)</f>
        <v/>
      </c>
      <c r="C13" s="16">
        <f>IF($B13="","",SUM(D13,F13,H13,J13,L13,N13,P13,R13,T13,V13))</f>
        <v/>
      </c>
      <c r="D13" s="18">
        <f>IF($B13="","",IF('Round 1'!$S$31=0,"",'Round 1'!$F$42))</f>
        <v/>
      </c>
      <c r="E13" s="18">
        <f>IF($B13="","",IF('Round 1'!$S$31=0,"",'Round 1'!$Q$42))</f>
        <v/>
      </c>
      <c r="F13" s="18">
        <f>IF($B13="","",IF('Round 2'!$S$31=0,"",'Round 2'!$F$42))</f>
        <v/>
      </c>
      <c r="G13" s="18">
        <f>IF($B13="","",IF('Round 2'!$S$31=0,"",'Round 2'!$Q$42))</f>
        <v/>
      </c>
      <c r="H13" s="18">
        <f>IF($B13="","",IF('Round 3'!$S$31=0,"",'Round 3'!$F$42))</f>
        <v/>
      </c>
      <c r="I13" s="18">
        <f>IF($B13="","",IF('Round 3'!$S$31=0,"",'Round 3'!$Q$42))</f>
        <v/>
      </c>
      <c r="J13" s="18">
        <f>IF($B13="","",IF('Round 4'!$S$31=0,"",'Round 4'!$F$42))</f>
        <v/>
      </c>
      <c r="K13" s="18">
        <f>IF($B13="","",IF('Round 4'!$S$31=0,"",'Round 4'!$Q$42))</f>
        <v/>
      </c>
      <c r="L13" s="18">
        <f>IF($B13="","",IF('Round 5'!$S$31=0,"",'Round 5'!$F$42))</f>
        <v/>
      </c>
      <c r="M13" s="18">
        <f>IF($B13="","",IF('Round 5'!$S$31=0,"",'Round 5'!$Q$42))</f>
        <v/>
      </c>
      <c r="N13" s="18">
        <f>IF($B13="","",IF('Round 6'!$S$31=0,"",'Round 6'!$F$42))</f>
        <v/>
      </c>
      <c r="O13" s="18">
        <f>IF($B13="","",IF('Round 6'!$S$31=0,"",'Round 6'!$Q$42))</f>
        <v/>
      </c>
      <c r="P13" s="18">
        <f>IF($B13="","",IF('Round 7'!$S$31=0,"",'Round 7'!$F$42))</f>
        <v/>
      </c>
      <c r="Q13" s="18">
        <f>IF($B13="","",IF('Round 7'!$S$31=0,"",'Round 7'!$Q$42))</f>
        <v/>
      </c>
      <c r="R13" s="18">
        <f>IF($B13="","",IF('Round 8'!$S$31=0,"",'Round 8'!$F$42))</f>
        <v/>
      </c>
      <c r="S13" s="18">
        <f>IF($B13="","",IF('Round 8'!$S$31=0,"",'Round 8'!$Q$42))</f>
        <v/>
      </c>
      <c r="T13" s="18">
        <f>IF($B13="","",IF('Round 9'!$S$31=0,"",'Round 9'!$F$42))</f>
        <v/>
      </c>
      <c r="U13" s="18">
        <f>IF($B13="","",IF('Round 9'!$S$31=0,"",'Round 9'!$Q$42))</f>
        <v/>
      </c>
      <c r="V13" s="18">
        <f>IF($B13="","",IF('Round 10'!$S$31=0,"",'Round 10'!$F$42))</f>
        <v/>
      </c>
      <c r="W13" s="18">
        <f>IF($B13="","",IF('Round 10'!$S$31=0,"",'Round 10'!$Q$42))</f>
        <v/>
      </c>
      <c r="Y13">
        <f>IF(OR($B13="",$Y$1=0),0,CHOOSE($Y$1,'Round 1'!$P$42,'Round 2'!$P$42,'Round 3'!$P$42,'Round 4'!$P$42,'Round 5'!$P$42,'Round 6'!$P$42,'Round 7'!$P$42,'Round 8'!$P$42,'Round 9'!$P$42,'Round 10'!$P$42))</f>
        <v/>
      </c>
    </row>
    <row r="14">
      <c r="A14" s="16">
        <f>IF($B14="","",1+SUMPRODUCT(($B$3:$B$34&lt;&gt;"")*(($C$3:$C$34&gt;C14)+(($C$3:$C$34=C14)*($Y$3:$Y$34&gt;Y14)))))</f>
        <v/>
      </c>
      <c r="B14" s="17">
        <f>IF(Setup!B16="","",Setup!B16)</f>
        <v/>
      </c>
      <c r="C14" s="16">
        <f>IF($B14="","",SUM(D14,F14,H14,J14,L14,N14,P14,R14,T14,V14))</f>
        <v/>
      </c>
      <c r="D14" s="18">
        <f>IF($B14="","",IF('Round 1'!$S$31=0,"",'Round 1'!$F$43))</f>
        <v/>
      </c>
      <c r="E14" s="18">
        <f>IF($B14="","",IF('Round 1'!$S$31=0,"",'Round 1'!$Q$43))</f>
        <v/>
      </c>
      <c r="F14" s="18">
        <f>IF($B14="","",IF('Round 2'!$S$31=0,"",'Round 2'!$F$43))</f>
        <v/>
      </c>
      <c r="G14" s="18">
        <f>IF($B14="","",IF('Round 2'!$S$31=0,"",'Round 2'!$Q$43))</f>
        <v/>
      </c>
      <c r="H14" s="18">
        <f>IF($B14="","",IF('Round 3'!$S$31=0,"",'Round 3'!$F$43))</f>
        <v/>
      </c>
      <c r="I14" s="18">
        <f>IF($B14="","",IF('Round 3'!$S$31=0,"",'Round 3'!$Q$43))</f>
        <v/>
      </c>
      <c r="J14" s="18">
        <f>IF($B14="","",IF('Round 4'!$S$31=0,"",'Round 4'!$F$43))</f>
        <v/>
      </c>
      <c r="K14" s="18">
        <f>IF($B14="","",IF('Round 4'!$S$31=0,"",'Round 4'!$Q$43))</f>
        <v/>
      </c>
      <c r="L14" s="18">
        <f>IF($B14="","",IF('Round 5'!$S$31=0,"",'Round 5'!$F$43))</f>
        <v/>
      </c>
      <c r="M14" s="18">
        <f>IF($B14="","",IF('Round 5'!$S$31=0,"",'Round 5'!$Q$43))</f>
        <v/>
      </c>
      <c r="N14" s="18">
        <f>IF($B14="","",IF('Round 6'!$S$31=0,"",'Round 6'!$F$43))</f>
        <v/>
      </c>
      <c r="O14" s="18">
        <f>IF($B14="","",IF('Round 6'!$S$31=0,"",'Round 6'!$Q$43))</f>
        <v/>
      </c>
      <c r="P14" s="18">
        <f>IF($B14="","",IF('Round 7'!$S$31=0,"",'Round 7'!$F$43))</f>
        <v/>
      </c>
      <c r="Q14" s="18">
        <f>IF($B14="","",IF('Round 7'!$S$31=0,"",'Round 7'!$Q$43))</f>
        <v/>
      </c>
      <c r="R14" s="18">
        <f>IF($B14="","",IF('Round 8'!$S$31=0,"",'Round 8'!$F$43))</f>
        <v/>
      </c>
      <c r="S14" s="18">
        <f>IF($B14="","",IF('Round 8'!$S$31=0,"",'Round 8'!$Q$43))</f>
        <v/>
      </c>
      <c r="T14" s="18">
        <f>IF($B14="","",IF('Round 9'!$S$31=0,"",'Round 9'!$F$43))</f>
        <v/>
      </c>
      <c r="U14" s="18">
        <f>IF($B14="","",IF('Round 9'!$S$31=0,"",'Round 9'!$Q$43))</f>
        <v/>
      </c>
      <c r="V14" s="18">
        <f>IF($B14="","",IF('Round 10'!$S$31=0,"",'Round 10'!$F$43))</f>
        <v/>
      </c>
      <c r="W14" s="18">
        <f>IF($B14="","",IF('Round 10'!$S$31=0,"",'Round 10'!$Q$43))</f>
        <v/>
      </c>
      <c r="Y14">
        <f>IF(OR($B14="",$Y$1=0),0,CHOOSE($Y$1,'Round 1'!$P$43,'Round 2'!$P$43,'Round 3'!$P$43,'Round 4'!$P$43,'Round 5'!$P$43,'Round 6'!$P$43,'Round 7'!$P$43,'Round 8'!$P$43,'Round 9'!$P$43,'Round 10'!$P$43))</f>
        <v/>
      </c>
    </row>
    <row r="15">
      <c r="A15" s="16">
        <f>IF($B15="","",1+SUMPRODUCT(($B$3:$B$34&lt;&gt;"")*(($C$3:$C$34&gt;C15)+(($C$3:$C$34=C15)*($Y$3:$Y$34&gt;Y15)))))</f>
        <v/>
      </c>
      <c r="B15" s="17">
        <f>IF(Setup!B17="","",Setup!B17)</f>
        <v/>
      </c>
      <c r="C15" s="16">
        <f>IF($B15="","",SUM(D15,F15,H15,J15,L15,N15,P15,R15,T15,V15))</f>
        <v/>
      </c>
      <c r="D15" s="18">
        <f>IF($B15="","",IF('Round 1'!$S$31=0,"",'Round 1'!$F$44))</f>
        <v/>
      </c>
      <c r="E15" s="18">
        <f>IF($B15="","",IF('Round 1'!$S$31=0,"",'Round 1'!$Q$44))</f>
        <v/>
      </c>
      <c r="F15" s="18">
        <f>IF($B15="","",IF('Round 2'!$S$31=0,"",'Round 2'!$F$44))</f>
        <v/>
      </c>
      <c r="G15" s="18">
        <f>IF($B15="","",IF('Round 2'!$S$31=0,"",'Round 2'!$Q$44))</f>
        <v/>
      </c>
      <c r="H15" s="18">
        <f>IF($B15="","",IF('Round 3'!$S$31=0,"",'Round 3'!$F$44))</f>
        <v/>
      </c>
      <c r="I15" s="18">
        <f>IF($B15="","",IF('Round 3'!$S$31=0,"",'Round 3'!$Q$44))</f>
        <v/>
      </c>
      <c r="J15" s="18">
        <f>IF($B15="","",IF('Round 4'!$S$31=0,"",'Round 4'!$F$44))</f>
        <v/>
      </c>
      <c r="K15" s="18">
        <f>IF($B15="","",IF('Round 4'!$S$31=0,"",'Round 4'!$Q$44))</f>
        <v/>
      </c>
      <c r="L15" s="18">
        <f>IF($B15="","",IF('Round 5'!$S$31=0,"",'Round 5'!$F$44))</f>
        <v/>
      </c>
      <c r="M15" s="18">
        <f>IF($B15="","",IF('Round 5'!$S$31=0,"",'Round 5'!$Q$44))</f>
        <v/>
      </c>
      <c r="N15" s="18">
        <f>IF($B15="","",IF('Round 6'!$S$31=0,"",'Round 6'!$F$44))</f>
        <v/>
      </c>
      <c r="O15" s="18">
        <f>IF($B15="","",IF('Round 6'!$S$31=0,"",'Round 6'!$Q$44))</f>
        <v/>
      </c>
      <c r="P15" s="18">
        <f>IF($B15="","",IF('Round 7'!$S$31=0,"",'Round 7'!$F$44))</f>
        <v/>
      </c>
      <c r="Q15" s="18">
        <f>IF($B15="","",IF('Round 7'!$S$31=0,"",'Round 7'!$Q$44))</f>
        <v/>
      </c>
      <c r="R15" s="18">
        <f>IF($B15="","",IF('Round 8'!$S$31=0,"",'Round 8'!$F$44))</f>
        <v/>
      </c>
      <c r="S15" s="18">
        <f>IF($B15="","",IF('Round 8'!$S$31=0,"",'Round 8'!$Q$44))</f>
        <v/>
      </c>
      <c r="T15" s="18">
        <f>IF($B15="","",IF('Round 9'!$S$31=0,"",'Round 9'!$F$44))</f>
        <v/>
      </c>
      <c r="U15" s="18">
        <f>IF($B15="","",IF('Round 9'!$S$31=0,"",'Round 9'!$Q$44))</f>
        <v/>
      </c>
      <c r="V15" s="18">
        <f>IF($B15="","",IF('Round 10'!$S$31=0,"",'Round 10'!$F$44))</f>
        <v/>
      </c>
      <c r="W15" s="18">
        <f>IF($B15="","",IF('Round 10'!$S$31=0,"",'Round 10'!$Q$44))</f>
        <v/>
      </c>
      <c r="Y15">
        <f>IF(OR($B15="",$Y$1=0),0,CHOOSE($Y$1,'Round 1'!$P$44,'Round 2'!$P$44,'Round 3'!$P$44,'Round 4'!$P$44,'Round 5'!$P$44,'Round 6'!$P$44,'Round 7'!$P$44,'Round 8'!$P$44,'Round 9'!$P$44,'Round 10'!$P$44))</f>
        <v/>
      </c>
    </row>
    <row r="16">
      <c r="A16" s="16">
        <f>IF($B16="","",1+SUMPRODUCT(($B$3:$B$34&lt;&gt;"")*(($C$3:$C$34&gt;C16)+(($C$3:$C$34=C16)*($Y$3:$Y$34&gt;Y16)))))</f>
        <v/>
      </c>
      <c r="B16" s="17">
        <f>IF(Setup!B18="","",Setup!B18)</f>
        <v/>
      </c>
      <c r="C16" s="16">
        <f>IF($B16="","",SUM(D16,F16,H16,J16,L16,N16,P16,R16,T16,V16))</f>
        <v/>
      </c>
      <c r="D16" s="18">
        <f>IF($B16="","",IF('Round 1'!$S$31=0,"",'Round 1'!$F$45))</f>
        <v/>
      </c>
      <c r="E16" s="18">
        <f>IF($B16="","",IF('Round 1'!$S$31=0,"",'Round 1'!$Q$45))</f>
        <v/>
      </c>
      <c r="F16" s="18">
        <f>IF($B16="","",IF('Round 2'!$S$31=0,"",'Round 2'!$F$45))</f>
        <v/>
      </c>
      <c r="G16" s="18">
        <f>IF($B16="","",IF('Round 2'!$S$31=0,"",'Round 2'!$Q$45))</f>
        <v/>
      </c>
      <c r="H16" s="18">
        <f>IF($B16="","",IF('Round 3'!$S$31=0,"",'Round 3'!$F$45))</f>
        <v/>
      </c>
      <c r="I16" s="18">
        <f>IF($B16="","",IF('Round 3'!$S$31=0,"",'Round 3'!$Q$45))</f>
        <v/>
      </c>
      <c r="J16" s="18">
        <f>IF($B16="","",IF('Round 4'!$S$31=0,"",'Round 4'!$F$45))</f>
        <v/>
      </c>
      <c r="K16" s="18">
        <f>IF($B16="","",IF('Round 4'!$S$31=0,"",'Round 4'!$Q$45))</f>
        <v/>
      </c>
      <c r="L16" s="18">
        <f>IF($B16="","",IF('Round 5'!$S$31=0,"",'Round 5'!$F$45))</f>
        <v/>
      </c>
      <c r="M16" s="18">
        <f>IF($B16="","",IF('Round 5'!$S$31=0,"",'Round 5'!$Q$45))</f>
        <v/>
      </c>
      <c r="N16" s="18">
        <f>IF($B16="","",IF('Round 6'!$S$31=0,"",'Round 6'!$F$45))</f>
        <v/>
      </c>
      <c r="O16" s="18">
        <f>IF($B16="","",IF('Round 6'!$S$31=0,"",'Round 6'!$Q$45))</f>
        <v/>
      </c>
      <c r="P16" s="18">
        <f>IF($B16="","",IF('Round 7'!$S$31=0,"",'Round 7'!$F$45))</f>
        <v/>
      </c>
      <c r="Q16" s="18">
        <f>IF($B16="","",IF('Round 7'!$S$31=0,"",'Round 7'!$Q$45))</f>
        <v/>
      </c>
      <c r="R16" s="18">
        <f>IF($B16="","",IF('Round 8'!$S$31=0,"",'Round 8'!$F$45))</f>
        <v/>
      </c>
      <c r="S16" s="18">
        <f>IF($B16="","",IF('Round 8'!$S$31=0,"",'Round 8'!$Q$45))</f>
        <v/>
      </c>
      <c r="T16" s="18">
        <f>IF($B16="","",IF('Round 9'!$S$31=0,"",'Round 9'!$F$45))</f>
        <v/>
      </c>
      <c r="U16" s="18">
        <f>IF($B16="","",IF('Round 9'!$S$31=0,"",'Round 9'!$Q$45))</f>
        <v/>
      </c>
      <c r="V16" s="18">
        <f>IF($B16="","",IF('Round 10'!$S$31=0,"",'Round 10'!$F$45))</f>
        <v/>
      </c>
      <c r="W16" s="18">
        <f>IF($B16="","",IF('Round 10'!$S$31=0,"",'Round 10'!$Q$45))</f>
        <v/>
      </c>
      <c r="Y16">
        <f>IF(OR($B16="",$Y$1=0),0,CHOOSE($Y$1,'Round 1'!$P$45,'Round 2'!$P$45,'Round 3'!$P$45,'Round 4'!$P$45,'Round 5'!$P$45,'Round 6'!$P$45,'Round 7'!$P$45,'Round 8'!$P$45,'Round 9'!$P$45,'Round 10'!$P$45))</f>
        <v/>
      </c>
    </row>
    <row r="17">
      <c r="A17" s="16">
        <f>IF($B17="","",1+SUMPRODUCT(($B$3:$B$34&lt;&gt;"")*(($C$3:$C$34&gt;C17)+(($C$3:$C$34=C17)*($Y$3:$Y$34&gt;Y17)))))</f>
        <v/>
      </c>
      <c r="B17" s="17">
        <f>IF(Setup!B19="","",Setup!B19)</f>
        <v/>
      </c>
      <c r="C17" s="16">
        <f>IF($B17="","",SUM(D17,F17,H17,J17,L17,N17,P17,R17,T17,V17))</f>
        <v/>
      </c>
      <c r="D17" s="18">
        <f>IF($B17="","",IF('Round 1'!$S$31=0,"",'Round 1'!$F$46))</f>
        <v/>
      </c>
      <c r="E17" s="18">
        <f>IF($B17="","",IF('Round 1'!$S$31=0,"",'Round 1'!$Q$46))</f>
        <v/>
      </c>
      <c r="F17" s="18">
        <f>IF($B17="","",IF('Round 2'!$S$31=0,"",'Round 2'!$F$46))</f>
        <v/>
      </c>
      <c r="G17" s="18">
        <f>IF($B17="","",IF('Round 2'!$S$31=0,"",'Round 2'!$Q$46))</f>
        <v/>
      </c>
      <c r="H17" s="18">
        <f>IF($B17="","",IF('Round 3'!$S$31=0,"",'Round 3'!$F$46))</f>
        <v/>
      </c>
      <c r="I17" s="18">
        <f>IF($B17="","",IF('Round 3'!$S$31=0,"",'Round 3'!$Q$46))</f>
        <v/>
      </c>
      <c r="J17" s="18">
        <f>IF($B17="","",IF('Round 4'!$S$31=0,"",'Round 4'!$F$46))</f>
        <v/>
      </c>
      <c r="K17" s="18">
        <f>IF($B17="","",IF('Round 4'!$S$31=0,"",'Round 4'!$Q$46))</f>
        <v/>
      </c>
      <c r="L17" s="18">
        <f>IF($B17="","",IF('Round 5'!$S$31=0,"",'Round 5'!$F$46))</f>
        <v/>
      </c>
      <c r="M17" s="18">
        <f>IF($B17="","",IF('Round 5'!$S$31=0,"",'Round 5'!$Q$46))</f>
        <v/>
      </c>
      <c r="N17" s="18">
        <f>IF($B17="","",IF('Round 6'!$S$31=0,"",'Round 6'!$F$46))</f>
        <v/>
      </c>
      <c r="O17" s="18">
        <f>IF($B17="","",IF('Round 6'!$S$31=0,"",'Round 6'!$Q$46))</f>
        <v/>
      </c>
      <c r="P17" s="18">
        <f>IF($B17="","",IF('Round 7'!$S$31=0,"",'Round 7'!$F$46))</f>
        <v/>
      </c>
      <c r="Q17" s="18">
        <f>IF($B17="","",IF('Round 7'!$S$31=0,"",'Round 7'!$Q$46))</f>
        <v/>
      </c>
      <c r="R17" s="18">
        <f>IF($B17="","",IF('Round 8'!$S$31=0,"",'Round 8'!$F$46))</f>
        <v/>
      </c>
      <c r="S17" s="18">
        <f>IF($B17="","",IF('Round 8'!$S$31=0,"",'Round 8'!$Q$46))</f>
        <v/>
      </c>
      <c r="T17" s="18">
        <f>IF($B17="","",IF('Round 9'!$S$31=0,"",'Round 9'!$F$46))</f>
        <v/>
      </c>
      <c r="U17" s="18">
        <f>IF($B17="","",IF('Round 9'!$S$31=0,"",'Round 9'!$Q$46))</f>
        <v/>
      </c>
      <c r="V17" s="18">
        <f>IF($B17="","",IF('Round 10'!$S$31=0,"",'Round 10'!$F$46))</f>
        <v/>
      </c>
      <c r="W17" s="18">
        <f>IF($B17="","",IF('Round 10'!$S$31=0,"",'Round 10'!$Q$46))</f>
        <v/>
      </c>
      <c r="Y17">
        <f>IF(OR($B17="",$Y$1=0),0,CHOOSE($Y$1,'Round 1'!$P$46,'Round 2'!$P$46,'Round 3'!$P$46,'Round 4'!$P$46,'Round 5'!$P$46,'Round 6'!$P$46,'Round 7'!$P$46,'Round 8'!$P$46,'Round 9'!$P$46,'Round 10'!$P$46))</f>
        <v/>
      </c>
    </row>
    <row r="18">
      <c r="A18" s="16">
        <f>IF($B18="","",1+SUMPRODUCT(($B$3:$B$34&lt;&gt;"")*(($C$3:$C$34&gt;C18)+(($C$3:$C$34=C18)*($Y$3:$Y$34&gt;Y18)))))</f>
        <v/>
      </c>
      <c r="B18" s="17">
        <f>IF(Setup!B20="","",Setup!B20)</f>
        <v/>
      </c>
      <c r="C18" s="16">
        <f>IF($B18="","",SUM(D18,F18,H18,J18,L18,N18,P18,R18,T18,V18))</f>
        <v/>
      </c>
      <c r="D18" s="18">
        <f>IF($B18="","",IF('Round 1'!$S$31=0,"",'Round 1'!$F$47))</f>
        <v/>
      </c>
      <c r="E18" s="18">
        <f>IF($B18="","",IF('Round 1'!$S$31=0,"",'Round 1'!$Q$47))</f>
        <v/>
      </c>
      <c r="F18" s="18">
        <f>IF($B18="","",IF('Round 2'!$S$31=0,"",'Round 2'!$F$47))</f>
        <v/>
      </c>
      <c r="G18" s="18">
        <f>IF($B18="","",IF('Round 2'!$S$31=0,"",'Round 2'!$Q$47))</f>
        <v/>
      </c>
      <c r="H18" s="18">
        <f>IF($B18="","",IF('Round 3'!$S$31=0,"",'Round 3'!$F$47))</f>
        <v/>
      </c>
      <c r="I18" s="18">
        <f>IF($B18="","",IF('Round 3'!$S$31=0,"",'Round 3'!$Q$47))</f>
        <v/>
      </c>
      <c r="J18" s="18">
        <f>IF($B18="","",IF('Round 4'!$S$31=0,"",'Round 4'!$F$47))</f>
        <v/>
      </c>
      <c r="K18" s="18">
        <f>IF($B18="","",IF('Round 4'!$S$31=0,"",'Round 4'!$Q$47))</f>
        <v/>
      </c>
      <c r="L18" s="18">
        <f>IF($B18="","",IF('Round 5'!$S$31=0,"",'Round 5'!$F$47))</f>
        <v/>
      </c>
      <c r="M18" s="18">
        <f>IF($B18="","",IF('Round 5'!$S$31=0,"",'Round 5'!$Q$47))</f>
        <v/>
      </c>
      <c r="N18" s="18">
        <f>IF($B18="","",IF('Round 6'!$S$31=0,"",'Round 6'!$F$47))</f>
        <v/>
      </c>
      <c r="O18" s="18">
        <f>IF($B18="","",IF('Round 6'!$S$31=0,"",'Round 6'!$Q$47))</f>
        <v/>
      </c>
      <c r="P18" s="18">
        <f>IF($B18="","",IF('Round 7'!$S$31=0,"",'Round 7'!$F$47))</f>
        <v/>
      </c>
      <c r="Q18" s="18">
        <f>IF($B18="","",IF('Round 7'!$S$31=0,"",'Round 7'!$Q$47))</f>
        <v/>
      </c>
      <c r="R18" s="18">
        <f>IF($B18="","",IF('Round 8'!$S$31=0,"",'Round 8'!$F$47))</f>
        <v/>
      </c>
      <c r="S18" s="18">
        <f>IF($B18="","",IF('Round 8'!$S$31=0,"",'Round 8'!$Q$47))</f>
        <v/>
      </c>
      <c r="T18" s="18">
        <f>IF($B18="","",IF('Round 9'!$S$31=0,"",'Round 9'!$F$47))</f>
        <v/>
      </c>
      <c r="U18" s="18">
        <f>IF($B18="","",IF('Round 9'!$S$31=0,"",'Round 9'!$Q$47))</f>
        <v/>
      </c>
      <c r="V18" s="18">
        <f>IF($B18="","",IF('Round 10'!$S$31=0,"",'Round 10'!$F$47))</f>
        <v/>
      </c>
      <c r="W18" s="18">
        <f>IF($B18="","",IF('Round 10'!$S$31=0,"",'Round 10'!$Q$47))</f>
        <v/>
      </c>
      <c r="Y18">
        <f>IF(OR($B18="",$Y$1=0),0,CHOOSE($Y$1,'Round 1'!$P$47,'Round 2'!$P$47,'Round 3'!$P$47,'Round 4'!$P$47,'Round 5'!$P$47,'Round 6'!$P$47,'Round 7'!$P$47,'Round 8'!$P$47,'Round 9'!$P$47,'Round 10'!$P$47))</f>
        <v/>
      </c>
    </row>
    <row r="19">
      <c r="A19" s="16">
        <f>IF($B19="","",1+SUMPRODUCT(($B$3:$B$34&lt;&gt;"")*(($C$3:$C$34&gt;C19)+(($C$3:$C$34=C19)*($Y$3:$Y$34&gt;Y19)))))</f>
        <v/>
      </c>
      <c r="B19" s="17">
        <f>IF(Setup!B21="","",Setup!B21)</f>
        <v/>
      </c>
      <c r="C19" s="16">
        <f>IF($B19="","",SUM(D19,F19,H19,J19,L19,N19,P19,R19,T19,V19))</f>
        <v/>
      </c>
      <c r="D19" s="18">
        <f>IF($B19="","",IF('Round 1'!$S$31=0,"",'Round 1'!$F$48))</f>
        <v/>
      </c>
      <c r="E19" s="18">
        <f>IF($B19="","",IF('Round 1'!$S$31=0,"",'Round 1'!$Q$48))</f>
        <v/>
      </c>
      <c r="F19" s="18">
        <f>IF($B19="","",IF('Round 2'!$S$31=0,"",'Round 2'!$F$48))</f>
        <v/>
      </c>
      <c r="G19" s="18">
        <f>IF($B19="","",IF('Round 2'!$S$31=0,"",'Round 2'!$Q$48))</f>
        <v/>
      </c>
      <c r="H19" s="18">
        <f>IF($B19="","",IF('Round 3'!$S$31=0,"",'Round 3'!$F$48))</f>
        <v/>
      </c>
      <c r="I19" s="18">
        <f>IF($B19="","",IF('Round 3'!$S$31=0,"",'Round 3'!$Q$48))</f>
        <v/>
      </c>
      <c r="J19" s="18">
        <f>IF($B19="","",IF('Round 4'!$S$31=0,"",'Round 4'!$F$48))</f>
        <v/>
      </c>
      <c r="K19" s="18">
        <f>IF($B19="","",IF('Round 4'!$S$31=0,"",'Round 4'!$Q$48))</f>
        <v/>
      </c>
      <c r="L19" s="18">
        <f>IF($B19="","",IF('Round 5'!$S$31=0,"",'Round 5'!$F$48))</f>
        <v/>
      </c>
      <c r="M19" s="18">
        <f>IF($B19="","",IF('Round 5'!$S$31=0,"",'Round 5'!$Q$48))</f>
        <v/>
      </c>
      <c r="N19" s="18">
        <f>IF($B19="","",IF('Round 6'!$S$31=0,"",'Round 6'!$F$48))</f>
        <v/>
      </c>
      <c r="O19" s="18">
        <f>IF($B19="","",IF('Round 6'!$S$31=0,"",'Round 6'!$Q$48))</f>
        <v/>
      </c>
      <c r="P19" s="18">
        <f>IF($B19="","",IF('Round 7'!$S$31=0,"",'Round 7'!$F$48))</f>
        <v/>
      </c>
      <c r="Q19" s="18">
        <f>IF($B19="","",IF('Round 7'!$S$31=0,"",'Round 7'!$Q$48))</f>
        <v/>
      </c>
      <c r="R19" s="18">
        <f>IF($B19="","",IF('Round 8'!$S$31=0,"",'Round 8'!$F$48))</f>
        <v/>
      </c>
      <c r="S19" s="18">
        <f>IF($B19="","",IF('Round 8'!$S$31=0,"",'Round 8'!$Q$48))</f>
        <v/>
      </c>
      <c r="T19" s="18">
        <f>IF($B19="","",IF('Round 9'!$S$31=0,"",'Round 9'!$F$48))</f>
        <v/>
      </c>
      <c r="U19" s="18">
        <f>IF($B19="","",IF('Round 9'!$S$31=0,"",'Round 9'!$Q$48))</f>
        <v/>
      </c>
      <c r="V19" s="18">
        <f>IF($B19="","",IF('Round 10'!$S$31=0,"",'Round 10'!$F$48))</f>
        <v/>
      </c>
      <c r="W19" s="18">
        <f>IF($B19="","",IF('Round 10'!$S$31=0,"",'Round 10'!$Q$48))</f>
        <v/>
      </c>
      <c r="Y19">
        <f>IF(OR($B19="",$Y$1=0),0,CHOOSE($Y$1,'Round 1'!$P$48,'Round 2'!$P$48,'Round 3'!$P$48,'Round 4'!$P$48,'Round 5'!$P$48,'Round 6'!$P$48,'Round 7'!$P$48,'Round 8'!$P$48,'Round 9'!$P$48,'Round 10'!$P$48))</f>
        <v/>
      </c>
    </row>
    <row r="20">
      <c r="A20" s="16">
        <f>IF($B20="","",1+SUMPRODUCT(($B$3:$B$34&lt;&gt;"")*(($C$3:$C$34&gt;C20)+(($C$3:$C$34=C20)*($Y$3:$Y$34&gt;Y20)))))</f>
        <v/>
      </c>
      <c r="B20" s="17">
        <f>IF(Setup!B22="","",Setup!B22)</f>
        <v/>
      </c>
      <c r="C20" s="16">
        <f>IF($B20="","",SUM(D20,F20,H20,J20,L20,N20,P20,R20,T20,V20))</f>
        <v/>
      </c>
      <c r="D20" s="18">
        <f>IF($B20="","",IF('Round 1'!$S$31=0,"",'Round 1'!$F$49))</f>
        <v/>
      </c>
      <c r="E20" s="18">
        <f>IF($B20="","",IF('Round 1'!$S$31=0,"",'Round 1'!$Q$49))</f>
        <v/>
      </c>
      <c r="F20" s="18">
        <f>IF($B20="","",IF('Round 2'!$S$31=0,"",'Round 2'!$F$49))</f>
        <v/>
      </c>
      <c r="G20" s="18">
        <f>IF($B20="","",IF('Round 2'!$S$31=0,"",'Round 2'!$Q$49))</f>
        <v/>
      </c>
      <c r="H20" s="18">
        <f>IF($B20="","",IF('Round 3'!$S$31=0,"",'Round 3'!$F$49))</f>
        <v/>
      </c>
      <c r="I20" s="18">
        <f>IF($B20="","",IF('Round 3'!$S$31=0,"",'Round 3'!$Q$49))</f>
        <v/>
      </c>
      <c r="J20" s="18">
        <f>IF($B20="","",IF('Round 4'!$S$31=0,"",'Round 4'!$F$49))</f>
        <v/>
      </c>
      <c r="K20" s="18">
        <f>IF($B20="","",IF('Round 4'!$S$31=0,"",'Round 4'!$Q$49))</f>
        <v/>
      </c>
      <c r="L20" s="18">
        <f>IF($B20="","",IF('Round 5'!$S$31=0,"",'Round 5'!$F$49))</f>
        <v/>
      </c>
      <c r="M20" s="18">
        <f>IF($B20="","",IF('Round 5'!$S$31=0,"",'Round 5'!$Q$49))</f>
        <v/>
      </c>
      <c r="N20" s="18">
        <f>IF($B20="","",IF('Round 6'!$S$31=0,"",'Round 6'!$F$49))</f>
        <v/>
      </c>
      <c r="O20" s="18">
        <f>IF($B20="","",IF('Round 6'!$S$31=0,"",'Round 6'!$Q$49))</f>
        <v/>
      </c>
      <c r="P20" s="18">
        <f>IF($B20="","",IF('Round 7'!$S$31=0,"",'Round 7'!$F$49))</f>
        <v/>
      </c>
      <c r="Q20" s="18">
        <f>IF($B20="","",IF('Round 7'!$S$31=0,"",'Round 7'!$Q$49))</f>
        <v/>
      </c>
      <c r="R20" s="18">
        <f>IF($B20="","",IF('Round 8'!$S$31=0,"",'Round 8'!$F$49))</f>
        <v/>
      </c>
      <c r="S20" s="18">
        <f>IF($B20="","",IF('Round 8'!$S$31=0,"",'Round 8'!$Q$49))</f>
        <v/>
      </c>
      <c r="T20" s="18">
        <f>IF($B20="","",IF('Round 9'!$S$31=0,"",'Round 9'!$F$49))</f>
        <v/>
      </c>
      <c r="U20" s="18">
        <f>IF($B20="","",IF('Round 9'!$S$31=0,"",'Round 9'!$Q$49))</f>
        <v/>
      </c>
      <c r="V20" s="18">
        <f>IF($B20="","",IF('Round 10'!$S$31=0,"",'Round 10'!$F$49))</f>
        <v/>
      </c>
      <c r="W20" s="18">
        <f>IF($B20="","",IF('Round 10'!$S$31=0,"",'Round 10'!$Q$49))</f>
        <v/>
      </c>
      <c r="Y20">
        <f>IF(OR($B20="",$Y$1=0),0,CHOOSE($Y$1,'Round 1'!$P$49,'Round 2'!$P$49,'Round 3'!$P$49,'Round 4'!$P$49,'Round 5'!$P$49,'Round 6'!$P$49,'Round 7'!$P$49,'Round 8'!$P$49,'Round 9'!$P$49,'Round 10'!$P$49))</f>
        <v/>
      </c>
    </row>
    <row r="21">
      <c r="A21" s="16">
        <f>IF($B21="","",1+SUMPRODUCT(($B$3:$B$34&lt;&gt;"")*(($C$3:$C$34&gt;C21)+(($C$3:$C$34=C21)*($Y$3:$Y$34&gt;Y21)))))</f>
        <v/>
      </c>
      <c r="B21" s="17">
        <f>IF(Setup!B23="","",Setup!B23)</f>
        <v/>
      </c>
      <c r="C21" s="16">
        <f>IF($B21="","",SUM(D21,F21,H21,J21,L21,N21,P21,R21,T21,V21))</f>
        <v/>
      </c>
      <c r="D21" s="18">
        <f>IF($B21="","",IF('Round 1'!$S$31=0,"",'Round 1'!$F$50))</f>
        <v/>
      </c>
      <c r="E21" s="18">
        <f>IF($B21="","",IF('Round 1'!$S$31=0,"",'Round 1'!$Q$50))</f>
        <v/>
      </c>
      <c r="F21" s="18">
        <f>IF($B21="","",IF('Round 2'!$S$31=0,"",'Round 2'!$F$50))</f>
        <v/>
      </c>
      <c r="G21" s="18">
        <f>IF($B21="","",IF('Round 2'!$S$31=0,"",'Round 2'!$Q$50))</f>
        <v/>
      </c>
      <c r="H21" s="18">
        <f>IF($B21="","",IF('Round 3'!$S$31=0,"",'Round 3'!$F$50))</f>
        <v/>
      </c>
      <c r="I21" s="18">
        <f>IF($B21="","",IF('Round 3'!$S$31=0,"",'Round 3'!$Q$50))</f>
        <v/>
      </c>
      <c r="J21" s="18">
        <f>IF($B21="","",IF('Round 4'!$S$31=0,"",'Round 4'!$F$50))</f>
        <v/>
      </c>
      <c r="K21" s="18">
        <f>IF($B21="","",IF('Round 4'!$S$31=0,"",'Round 4'!$Q$50))</f>
        <v/>
      </c>
      <c r="L21" s="18">
        <f>IF($B21="","",IF('Round 5'!$S$31=0,"",'Round 5'!$F$50))</f>
        <v/>
      </c>
      <c r="M21" s="18">
        <f>IF($B21="","",IF('Round 5'!$S$31=0,"",'Round 5'!$Q$50))</f>
        <v/>
      </c>
      <c r="N21" s="18">
        <f>IF($B21="","",IF('Round 6'!$S$31=0,"",'Round 6'!$F$50))</f>
        <v/>
      </c>
      <c r="O21" s="18">
        <f>IF($B21="","",IF('Round 6'!$S$31=0,"",'Round 6'!$Q$50))</f>
        <v/>
      </c>
      <c r="P21" s="18">
        <f>IF($B21="","",IF('Round 7'!$S$31=0,"",'Round 7'!$F$50))</f>
        <v/>
      </c>
      <c r="Q21" s="18">
        <f>IF($B21="","",IF('Round 7'!$S$31=0,"",'Round 7'!$Q$50))</f>
        <v/>
      </c>
      <c r="R21" s="18">
        <f>IF($B21="","",IF('Round 8'!$S$31=0,"",'Round 8'!$F$50))</f>
        <v/>
      </c>
      <c r="S21" s="18">
        <f>IF($B21="","",IF('Round 8'!$S$31=0,"",'Round 8'!$Q$50))</f>
        <v/>
      </c>
      <c r="T21" s="18">
        <f>IF($B21="","",IF('Round 9'!$S$31=0,"",'Round 9'!$F$50))</f>
        <v/>
      </c>
      <c r="U21" s="18">
        <f>IF($B21="","",IF('Round 9'!$S$31=0,"",'Round 9'!$Q$50))</f>
        <v/>
      </c>
      <c r="V21" s="18">
        <f>IF($B21="","",IF('Round 10'!$S$31=0,"",'Round 10'!$F$50))</f>
        <v/>
      </c>
      <c r="W21" s="18">
        <f>IF($B21="","",IF('Round 10'!$S$31=0,"",'Round 10'!$Q$50))</f>
        <v/>
      </c>
      <c r="Y21">
        <f>IF(OR($B21="",$Y$1=0),0,CHOOSE($Y$1,'Round 1'!$P$50,'Round 2'!$P$50,'Round 3'!$P$50,'Round 4'!$P$50,'Round 5'!$P$50,'Round 6'!$P$50,'Round 7'!$P$50,'Round 8'!$P$50,'Round 9'!$P$50,'Round 10'!$P$50))</f>
        <v/>
      </c>
    </row>
    <row r="22">
      <c r="A22" s="16">
        <f>IF($B22="","",1+SUMPRODUCT(($B$3:$B$34&lt;&gt;"")*(($C$3:$C$34&gt;C22)+(($C$3:$C$34=C22)*($Y$3:$Y$34&gt;Y22)))))</f>
        <v/>
      </c>
      <c r="B22" s="17">
        <f>IF(Setup!B24="","",Setup!B24)</f>
        <v/>
      </c>
      <c r="C22" s="16">
        <f>IF($B22="","",SUM(D22,F22,H22,J22,L22,N22,P22,R22,T22,V22))</f>
        <v/>
      </c>
      <c r="D22" s="18">
        <f>IF($B22="","",IF('Round 1'!$S$31=0,"",'Round 1'!$F$51))</f>
        <v/>
      </c>
      <c r="E22" s="18">
        <f>IF($B22="","",IF('Round 1'!$S$31=0,"",'Round 1'!$Q$51))</f>
        <v/>
      </c>
      <c r="F22" s="18">
        <f>IF($B22="","",IF('Round 2'!$S$31=0,"",'Round 2'!$F$51))</f>
        <v/>
      </c>
      <c r="G22" s="18">
        <f>IF($B22="","",IF('Round 2'!$S$31=0,"",'Round 2'!$Q$51))</f>
        <v/>
      </c>
      <c r="H22" s="18">
        <f>IF($B22="","",IF('Round 3'!$S$31=0,"",'Round 3'!$F$51))</f>
        <v/>
      </c>
      <c r="I22" s="18">
        <f>IF($B22="","",IF('Round 3'!$S$31=0,"",'Round 3'!$Q$51))</f>
        <v/>
      </c>
      <c r="J22" s="18">
        <f>IF($B22="","",IF('Round 4'!$S$31=0,"",'Round 4'!$F$51))</f>
        <v/>
      </c>
      <c r="K22" s="18">
        <f>IF($B22="","",IF('Round 4'!$S$31=0,"",'Round 4'!$Q$51))</f>
        <v/>
      </c>
      <c r="L22" s="18">
        <f>IF($B22="","",IF('Round 5'!$S$31=0,"",'Round 5'!$F$51))</f>
        <v/>
      </c>
      <c r="M22" s="18">
        <f>IF($B22="","",IF('Round 5'!$S$31=0,"",'Round 5'!$Q$51))</f>
        <v/>
      </c>
      <c r="N22" s="18">
        <f>IF($B22="","",IF('Round 6'!$S$31=0,"",'Round 6'!$F$51))</f>
        <v/>
      </c>
      <c r="O22" s="18">
        <f>IF($B22="","",IF('Round 6'!$S$31=0,"",'Round 6'!$Q$51))</f>
        <v/>
      </c>
      <c r="P22" s="18">
        <f>IF($B22="","",IF('Round 7'!$S$31=0,"",'Round 7'!$F$51))</f>
        <v/>
      </c>
      <c r="Q22" s="18">
        <f>IF($B22="","",IF('Round 7'!$S$31=0,"",'Round 7'!$Q$51))</f>
        <v/>
      </c>
      <c r="R22" s="18">
        <f>IF($B22="","",IF('Round 8'!$S$31=0,"",'Round 8'!$F$51))</f>
        <v/>
      </c>
      <c r="S22" s="18">
        <f>IF($B22="","",IF('Round 8'!$S$31=0,"",'Round 8'!$Q$51))</f>
        <v/>
      </c>
      <c r="T22" s="18">
        <f>IF($B22="","",IF('Round 9'!$S$31=0,"",'Round 9'!$F$51))</f>
        <v/>
      </c>
      <c r="U22" s="18">
        <f>IF($B22="","",IF('Round 9'!$S$31=0,"",'Round 9'!$Q$51))</f>
        <v/>
      </c>
      <c r="V22" s="18">
        <f>IF($B22="","",IF('Round 10'!$S$31=0,"",'Round 10'!$F$51))</f>
        <v/>
      </c>
      <c r="W22" s="18">
        <f>IF($B22="","",IF('Round 10'!$S$31=0,"",'Round 10'!$Q$51))</f>
        <v/>
      </c>
      <c r="Y22">
        <f>IF(OR($B22="",$Y$1=0),0,CHOOSE($Y$1,'Round 1'!$P$51,'Round 2'!$P$51,'Round 3'!$P$51,'Round 4'!$P$51,'Round 5'!$P$51,'Round 6'!$P$51,'Round 7'!$P$51,'Round 8'!$P$51,'Round 9'!$P$51,'Round 10'!$P$51))</f>
        <v/>
      </c>
    </row>
    <row r="23">
      <c r="A23" s="16">
        <f>IF($B23="","",1+SUMPRODUCT(($B$3:$B$34&lt;&gt;"")*(($C$3:$C$34&gt;C23)+(($C$3:$C$34=C23)*($Y$3:$Y$34&gt;Y23)))))</f>
        <v/>
      </c>
      <c r="B23" s="17">
        <f>IF(Setup!B25="","",Setup!B25)</f>
        <v/>
      </c>
      <c r="C23" s="16">
        <f>IF($B23="","",SUM(D23,F23,H23,J23,L23,N23,P23,R23,T23,V23))</f>
        <v/>
      </c>
      <c r="D23" s="18">
        <f>IF($B23="","",IF('Round 1'!$S$31=0,"",'Round 1'!$F$52))</f>
        <v/>
      </c>
      <c r="E23" s="18">
        <f>IF($B23="","",IF('Round 1'!$S$31=0,"",'Round 1'!$Q$52))</f>
        <v/>
      </c>
      <c r="F23" s="18">
        <f>IF($B23="","",IF('Round 2'!$S$31=0,"",'Round 2'!$F$52))</f>
        <v/>
      </c>
      <c r="G23" s="18">
        <f>IF($B23="","",IF('Round 2'!$S$31=0,"",'Round 2'!$Q$52))</f>
        <v/>
      </c>
      <c r="H23" s="18">
        <f>IF($B23="","",IF('Round 3'!$S$31=0,"",'Round 3'!$F$52))</f>
        <v/>
      </c>
      <c r="I23" s="18">
        <f>IF($B23="","",IF('Round 3'!$S$31=0,"",'Round 3'!$Q$52))</f>
        <v/>
      </c>
      <c r="J23" s="18">
        <f>IF($B23="","",IF('Round 4'!$S$31=0,"",'Round 4'!$F$52))</f>
        <v/>
      </c>
      <c r="K23" s="18">
        <f>IF($B23="","",IF('Round 4'!$S$31=0,"",'Round 4'!$Q$52))</f>
        <v/>
      </c>
      <c r="L23" s="18">
        <f>IF($B23="","",IF('Round 5'!$S$31=0,"",'Round 5'!$F$52))</f>
        <v/>
      </c>
      <c r="M23" s="18">
        <f>IF($B23="","",IF('Round 5'!$S$31=0,"",'Round 5'!$Q$52))</f>
        <v/>
      </c>
      <c r="N23" s="18">
        <f>IF($B23="","",IF('Round 6'!$S$31=0,"",'Round 6'!$F$52))</f>
        <v/>
      </c>
      <c r="O23" s="18">
        <f>IF($B23="","",IF('Round 6'!$S$31=0,"",'Round 6'!$Q$52))</f>
        <v/>
      </c>
      <c r="P23" s="18">
        <f>IF($B23="","",IF('Round 7'!$S$31=0,"",'Round 7'!$F$52))</f>
        <v/>
      </c>
      <c r="Q23" s="18">
        <f>IF($B23="","",IF('Round 7'!$S$31=0,"",'Round 7'!$Q$52))</f>
        <v/>
      </c>
      <c r="R23" s="18">
        <f>IF($B23="","",IF('Round 8'!$S$31=0,"",'Round 8'!$F$52))</f>
        <v/>
      </c>
      <c r="S23" s="18">
        <f>IF($B23="","",IF('Round 8'!$S$31=0,"",'Round 8'!$Q$52))</f>
        <v/>
      </c>
      <c r="T23" s="18">
        <f>IF($B23="","",IF('Round 9'!$S$31=0,"",'Round 9'!$F$52))</f>
        <v/>
      </c>
      <c r="U23" s="18">
        <f>IF($B23="","",IF('Round 9'!$S$31=0,"",'Round 9'!$Q$52))</f>
        <v/>
      </c>
      <c r="V23" s="18">
        <f>IF($B23="","",IF('Round 10'!$S$31=0,"",'Round 10'!$F$52))</f>
        <v/>
      </c>
      <c r="W23" s="18">
        <f>IF($B23="","",IF('Round 10'!$S$31=0,"",'Round 10'!$Q$52))</f>
        <v/>
      </c>
      <c r="Y23">
        <f>IF(OR($B23="",$Y$1=0),0,CHOOSE($Y$1,'Round 1'!$P$52,'Round 2'!$P$52,'Round 3'!$P$52,'Round 4'!$P$52,'Round 5'!$P$52,'Round 6'!$P$52,'Round 7'!$P$52,'Round 8'!$P$52,'Round 9'!$P$52,'Round 10'!$P$52))</f>
        <v/>
      </c>
    </row>
    <row r="24">
      <c r="A24" s="16">
        <f>IF($B24="","",1+SUMPRODUCT(($B$3:$B$34&lt;&gt;"")*(($C$3:$C$34&gt;C24)+(($C$3:$C$34=C24)*($Y$3:$Y$34&gt;Y24)))))</f>
        <v/>
      </c>
      <c r="B24" s="17">
        <f>IF(Setup!B26="","",Setup!B26)</f>
        <v/>
      </c>
      <c r="C24" s="16">
        <f>IF($B24="","",SUM(D24,F24,H24,J24,L24,N24,P24,R24,T24,V24))</f>
        <v/>
      </c>
      <c r="D24" s="18">
        <f>IF($B24="","",IF('Round 1'!$S$31=0,"",'Round 1'!$F$53))</f>
        <v/>
      </c>
      <c r="E24" s="18">
        <f>IF($B24="","",IF('Round 1'!$S$31=0,"",'Round 1'!$Q$53))</f>
        <v/>
      </c>
      <c r="F24" s="18">
        <f>IF($B24="","",IF('Round 2'!$S$31=0,"",'Round 2'!$F$53))</f>
        <v/>
      </c>
      <c r="G24" s="18">
        <f>IF($B24="","",IF('Round 2'!$S$31=0,"",'Round 2'!$Q$53))</f>
        <v/>
      </c>
      <c r="H24" s="18">
        <f>IF($B24="","",IF('Round 3'!$S$31=0,"",'Round 3'!$F$53))</f>
        <v/>
      </c>
      <c r="I24" s="18">
        <f>IF($B24="","",IF('Round 3'!$S$31=0,"",'Round 3'!$Q$53))</f>
        <v/>
      </c>
      <c r="J24" s="18">
        <f>IF($B24="","",IF('Round 4'!$S$31=0,"",'Round 4'!$F$53))</f>
        <v/>
      </c>
      <c r="K24" s="18">
        <f>IF($B24="","",IF('Round 4'!$S$31=0,"",'Round 4'!$Q$53))</f>
        <v/>
      </c>
      <c r="L24" s="18">
        <f>IF($B24="","",IF('Round 5'!$S$31=0,"",'Round 5'!$F$53))</f>
        <v/>
      </c>
      <c r="M24" s="18">
        <f>IF($B24="","",IF('Round 5'!$S$31=0,"",'Round 5'!$Q$53))</f>
        <v/>
      </c>
      <c r="N24" s="18">
        <f>IF($B24="","",IF('Round 6'!$S$31=0,"",'Round 6'!$F$53))</f>
        <v/>
      </c>
      <c r="O24" s="18">
        <f>IF($B24="","",IF('Round 6'!$S$31=0,"",'Round 6'!$Q$53))</f>
        <v/>
      </c>
      <c r="P24" s="18">
        <f>IF($B24="","",IF('Round 7'!$S$31=0,"",'Round 7'!$F$53))</f>
        <v/>
      </c>
      <c r="Q24" s="18">
        <f>IF($B24="","",IF('Round 7'!$S$31=0,"",'Round 7'!$Q$53))</f>
        <v/>
      </c>
      <c r="R24" s="18">
        <f>IF($B24="","",IF('Round 8'!$S$31=0,"",'Round 8'!$F$53))</f>
        <v/>
      </c>
      <c r="S24" s="18">
        <f>IF($B24="","",IF('Round 8'!$S$31=0,"",'Round 8'!$Q$53))</f>
        <v/>
      </c>
      <c r="T24" s="18">
        <f>IF($B24="","",IF('Round 9'!$S$31=0,"",'Round 9'!$F$53))</f>
        <v/>
      </c>
      <c r="U24" s="18">
        <f>IF($B24="","",IF('Round 9'!$S$31=0,"",'Round 9'!$Q$53))</f>
        <v/>
      </c>
      <c r="V24" s="18">
        <f>IF($B24="","",IF('Round 10'!$S$31=0,"",'Round 10'!$F$53))</f>
        <v/>
      </c>
      <c r="W24" s="18">
        <f>IF($B24="","",IF('Round 10'!$S$31=0,"",'Round 10'!$Q$53))</f>
        <v/>
      </c>
      <c r="Y24">
        <f>IF(OR($B24="",$Y$1=0),0,CHOOSE($Y$1,'Round 1'!$P$53,'Round 2'!$P$53,'Round 3'!$P$53,'Round 4'!$P$53,'Round 5'!$P$53,'Round 6'!$P$53,'Round 7'!$P$53,'Round 8'!$P$53,'Round 9'!$P$53,'Round 10'!$P$53))</f>
        <v/>
      </c>
    </row>
    <row r="25">
      <c r="A25" s="16">
        <f>IF($B25="","",1+SUMPRODUCT(($B$3:$B$34&lt;&gt;"")*(($C$3:$C$34&gt;C25)+(($C$3:$C$34=C25)*($Y$3:$Y$34&gt;Y25)))))</f>
        <v/>
      </c>
      <c r="B25" s="17">
        <f>IF(Setup!B27="","",Setup!B27)</f>
        <v/>
      </c>
      <c r="C25" s="16">
        <f>IF($B25="","",SUM(D25,F25,H25,J25,L25,N25,P25,R25,T25,V25))</f>
        <v/>
      </c>
      <c r="D25" s="18">
        <f>IF($B25="","",IF('Round 1'!$S$31=0,"",'Round 1'!$F$54))</f>
        <v/>
      </c>
      <c r="E25" s="18">
        <f>IF($B25="","",IF('Round 1'!$S$31=0,"",'Round 1'!$Q$54))</f>
        <v/>
      </c>
      <c r="F25" s="18">
        <f>IF($B25="","",IF('Round 2'!$S$31=0,"",'Round 2'!$F$54))</f>
        <v/>
      </c>
      <c r="G25" s="18">
        <f>IF($B25="","",IF('Round 2'!$S$31=0,"",'Round 2'!$Q$54))</f>
        <v/>
      </c>
      <c r="H25" s="18">
        <f>IF($B25="","",IF('Round 3'!$S$31=0,"",'Round 3'!$F$54))</f>
        <v/>
      </c>
      <c r="I25" s="18">
        <f>IF($B25="","",IF('Round 3'!$S$31=0,"",'Round 3'!$Q$54))</f>
        <v/>
      </c>
      <c r="J25" s="18">
        <f>IF($B25="","",IF('Round 4'!$S$31=0,"",'Round 4'!$F$54))</f>
        <v/>
      </c>
      <c r="K25" s="18">
        <f>IF($B25="","",IF('Round 4'!$S$31=0,"",'Round 4'!$Q$54))</f>
        <v/>
      </c>
      <c r="L25" s="18">
        <f>IF($B25="","",IF('Round 5'!$S$31=0,"",'Round 5'!$F$54))</f>
        <v/>
      </c>
      <c r="M25" s="18">
        <f>IF($B25="","",IF('Round 5'!$S$31=0,"",'Round 5'!$Q$54))</f>
        <v/>
      </c>
      <c r="N25" s="18">
        <f>IF($B25="","",IF('Round 6'!$S$31=0,"",'Round 6'!$F$54))</f>
        <v/>
      </c>
      <c r="O25" s="18">
        <f>IF($B25="","",IF('Round 6'!$S$31=0,"",'Round 6'!$Q$54))</f>
        <v/>
      </c>
      <c r="P25" s="18">
        <f>IF($B25="","",IF('Round 7'!$S$31=0,"",'Round 7'!$F$54))</f>
        <v/>
      </c>
      <c r="Q25" s="18">
        <f>IF($B25="","",IF('Round 7'!$S$31=0,"",'Round 7'!$Q$54))</f>
        <v/>
      </c>
      <c r="R25" s="18">
        <f>IF($B25="","",IF('Round 8'!$S$31=0,"",'Round 8'!$F$54))</f>
        <v/>
      </c>
      <c r="S25" s="18">
        <f>IF($B25="","",IF('Round 8'!$S$31=0,"",'Round 8'!$Q$54))</f>
        <v/>
      </c>
      <c r="T25" s="18">
        <f>IF($B25="","",IF('Round 9'!$S$31=0,"",'Round 9'!$F$54))</f>
        <v/>
      </c>
      <c r="U25" s="18">
        <f>IF($B25="","",IF('Round 9'!$S$31=0,"",'Round 9'!$Q$54))</f>
        <v/>
      </c>
      <c r="V25" s="18">
        <f>IF($B25="","",IF('Round 10'!$S$31=0,"",'Round 10'!$F$54))</f>
        <v/>
      </c>
      <c r="W25" s="18">
        <f>IF($B25="","",IF('Round 10'!$S$31=0,"",'Round 10'!$Q$54))</f>
        <v/>
      </c>
      <c r="Y25">
        <f>IF(OR($B25="",$Y$1=0),0,CHOOSE($Y$1,'Round 1'!$P$54,'Round 2'!$P$54,'Round 3'!$P$54,'Round 4'!$P$54,'Round 5'!$P$54,'Round 6'!$P$54,'Round 7'!$P$54,'Round 8'!$P$54,'Round 9'!$P$54,'Round 10'!$P$54))</f>
        <v/>
      </c>
    </row>
    <row r="26">
      <c r="A26" s="16">
        <f>IF($B26="","",1+SUMPRODUCT(($B$3:$B$34&lt;&gt;"")*(($C$3:$C$34&gt;C26)+(($C$3:$C$34=C26)*($Y$3:$Y$34&gt;Y26)))))</f>
        <v/>
      </c>
      <c r="B26" s="17">
        <f>IF(Setup!B28="","",Setup!B28)</f>
        <v/>
      </c>
      <c r="C26" s="16">
        <f>IF($B26="","",SUM(D26,F26,H26,J26,L26,N26,P26,R26,T26,V26))</f>
        <v/>
      </c>
      <c r="D26" s="18">
        <f>IF($B26="","",IF('Round 1'!$S$31=0,"",'Round 1'!$F$55))</f>
        <v/>
      </c>
      <c r="E26" s="18">
        <f>IF($B26="","",IF('Round 1'!$S$31=0,"",'Round 1'!$Q$55))</f>
        <v/>
      </c>
      <c r="F26" s="18">
        <f>IF($B26="","",IF('Round 2'!$S$31=0,"",'Round 2'!$F$55))</f>
        <v/>
      </c>
      <c r="G26" s="18">
        <f>IF($B26="","",IF('Round 2'!$S$31=0,"",'Round 2'!$Q$55))</f>
        <v/>
      </c>
      <c r="H26" s="18">
        <f>IF($B26="","",IF('Round 3'!$S$31=0,"",'Round 3'!$F$55))</f>
        <v/>
      </c>
      <c r="I26" s="18">
        <f>IF($B26="","",IF('Round 3'!$S$31=0,"",'Round 3'!$Q$55))</f>
        <v/>
      </c>
      <c r="J26" s="18">
        <f>IF($B26="","",IF('Round 4'!$S$31=0,"",'Round 4'!$F$55))</f>
        <v/>
      </c>
      <c r="K26" s="18">
        <f>IF($B26="","",IF('Round 4'!$S$31=0,"",'Round 4'!$Q$55))</f>
        <v/>
      </c>
      <c r="L26" s="18">
        <f>IF($B26="","",IF('Round 5'!$S$31=0,"",'Round 5'!$F$55))</f>
        <v/>
      </c>
      <c r="M26" s="18">
        <f>IF($B26="","",IF('Round 5'!$S$31=0,"",'Round 5'!$Q$55))</f>
        <v/>
      </c>
      <c r="N26" s="18">
        <f>IF($B26="","",IF('Round 6'!$S$31=0,"",'Round 6'!$F$55))</f>
        <v/>
      </c>
      <c r="O26" s="18">
        <f>IF($B26="","",IF('Round 6'!$S$31=0,"",'Round 6'!$Q$55))</f>
        <v/>
      </c>
      <c r="P26" s="18">
        <f>IF($B26="","",IF('Round 7'!$S$31=0,"",'Round 7'!$F$55))</f>
        <v/>
      </c>
      <c r="Q26" s="18">
        <f>IF($B26="","",IF('Round 7'!$S$31=0,"",'Round 7'!$Q$55))</f>
        <v/>
      </c>
      <c r="R26" s="18">
        <f>IF($B26="","",IF('Round 8'!$S$31=0,"",'Round 8'!$F$55))</f>
        <v/>
      </c>
      <c r="S26" s="18">
        <f>IF($B26="","",IF('Round 8'!$S$31=0,"",'Round 8'!$Q$55))</f>
        <v/>
      </c>
      <c r="T26" s="18">
        <f>IF($B26="","",IF('Round 9'!$S$31=0,"",'Round 9'!$F$55))</f>
        <v/>
      </c>
      <c r="U26" s="18">
        <f>IF($B26="","",IF('Round 9'!$S$31=0,"",'Round 9'!$Q$55))</f>
        <v/>
      </c>
      <c r="V26" s="18">
        <f>IF($B26="","",IF('Round 10'!$S$31=0,"",'Round 10'!$F$55))</f>
        <v/>
      </c>
      <c r="W26" s="18">
        <f>IF($B26="","",IF('Round 10'!$S$31=0,"",'Round 10'!$Q$55))</f>
        <v/>
      </c>
      <c r="Y26">
        <f>IF(OR($B26="",$Y$1=0),0,CHOOSE($Y$1,'Round 1'!$P$55,'Round 2'!$P$55,'Round 3'!$P$55,'Round 4'!$P$55,'Round 5'!$P$55,'Round 6'!$P$55,'Round 7'!$P$55,'Round 8'!$P$55,'Round 9'!$P$55,'Round 10'!$P$55))</f>
        <v/>
      </c>
    </row>
    <row r="27">
      <c r="A27" s="16">
        <f>IF($B27="","",1+SUMPRODUCT(($B$3:$B$34&lt;&gt;"")*(($C$3:$C$34&gt;C27)+(($C$3:$C$34=C27)*($Y$3:$Y$34&gt;Y27)))))</f>
        <v/>
      </c>
      <c r="B27" s="17">
        <f>IF(Setup!B29="","",Setup!B29)</f>
        <v/>
      </c>
      <c r="C27" s="16">
        <f>IF($B27="","",SUM(D27,F27,H27,J27,L27,N27,P27,R27,T27,V27))</f>
        <v/>
      </c>
      <c r="D27" s="18">
        <f>IF($B27="","",IF('Round 1'!$S$31=0,"",'Round 1'!$F$56))</f>
        <v/>
      </c>
      <c r="E27" s="18">
        <f>IF($B27="","",IF('Round 1'!$S$31=0,"",'Round 1'!$Q$56))</f>
        <v/>
      </c>
      <c r="F27" s="18">
        <f>IF($B27="","",IF('Round 2'!$S$31=0,"",'Round 2'!$F$56))</f>
        <v/>
      </c>
      <c r="G27" s="18">
        <f>IF($B27="","",IF('Round 2'!$S$31=0,"",'Round 2'!$Q$56))</f>
        <v/>
      </c>
      <c r="H27" s="18">
        <f>IF($B27="","",IF('Round 3'!$S$31=0,"",'Round 3'!$F$56))</f>
        <v/>
      </c>
      <c r="I27" s="18">
        <f>IF($B27="","",IF('Round 3'!$S$31=0,"",'Round 3'!$Q$56))</f>
        <v/>
      </c>
      <c r="J27" s="18">
        <f>IF($B27="","",IF('Round 4'!$S$31=0,"",'Round 4'!$F$56))</f>
        <v/>
      </c>
      <c r="K27" s="18">
        <f>IF($B27="","",IF('Round 4'!$S$31=0,"",'Round 4'!$Q$56))</f>
        <v/>
      </c>
      <c r="L27" s="18">
        <f>IF($B27="","",IF('Round 5'!$S$31=0,"",'Round 5'!$F$56))</f>
        <v/>
      </c>
      <c r="M27" s="18">
        <f>IF($B27="","",IF('Round 5'!$S$31=0,"",'Round 5'!$Q$56))</f>
        <v/>
      </c>
      <c r="N27" s="18">
        <f>IF($B27="","",IF('Round 6'!$S$31=0,"",'Round 6'!$F$56))</f>
        <v/>
      </c>
      <c r="O27" s="18">
        <f>IF($B27="","",IF('Round 6'!$S$31=0,"",'Round 6'!$Q$56))</f>
        <v/>
      </c>
      <c r="P27" s="18">
        <f>IF($B27="","",IF('Round 7'!$S$31=0,"",'Round 7'!$F$56))</f>
        <v/>
      </c>
      <c r="Q27" s="18">
        <f>IF($B27="","",IF('Round 7'!$S$31=0,"",'Round 7'!$Q$56))</f>
        <v/>
      </c>
      <c r="R27" s="18">
        <f>IF($B27="","",IF('Round 8'!$S$31=0,"",'Round 8'!$F$56))</f>
        <v/>
      </c>
      <c r="S27" s="18">
        <f>IF($B27="","",IF('Round 8'!$S$31=0,"",'Round 8'!$Q$56))</f>
        <v/>
      </c>
      <c r="T27" s="18">
        <f>IF($B27="","",IF('Round 9'!$S$31=0,"",'Round 9'!$F$56))</f>
        <v/>
      </c>
      <c r="U27" s="18">
        <f>IF($B27="","",IF('Round 9'!$S$31=0,"",'Round 9'!$Q$56))</f>
        <v/>
      </c>
      <c r="V27" s="18">
        <f>IF($B27="","",IF('Round 10'!$S$31=0,"",'Round 10'!$F$56))</f>
        <v/>
      </c>
      <c r="W27" s="18">
        <f>IF($B27="","",IF('Round 10'!$S$31=0,"",'Round 10'!$Q$56))</f>
        <v/>
      </c>
      <c r="Y27">
        <f>IF(OR($B27="",$Y$1=0),0,CHOOSE($Y$1,'Round 1'!$P$56,'Round 2'!$P$56,'Round 3'!$P$56,'Round 4'!$P$56,'Round 5'!$P$56,'Round 6'!$P$56,'Round 7'!$P$56,'Round 8'!$P$56,'Round 9'!$P$56,'Round 10'!$P$56))</f>
        <v/>
      </c>
    </row>
    <row r="28">
      <c r="A28" s="16">
        <f>IF($B28="","",1+SUMPRODUCT(($B$3:$B$34&lt;&gt;"")*(($C$3:$C$34&gt;C28)+(($C$3:$C$34=C28)*($Y$3:$Y$34&gt;Y28)))))</f>
        <v/>
      </c>
      <c r="B28" s="17">
        <f>IF(Setup!B30="","",Setup!B30)</f>
        <v/>
      </c>
      <c r="C28" s="16">
        <f>IF($B28="","",SUM(D28,F28,H28,J28,L28,N28,P28,R28,T28,V28))</f>
        <v/>
      </c>
      <c r="D28" s="18">
        <f>IF($B28="","",IF('Round 1'!$S$31=0,"",'Round 1'!$F$57))</f>
        <v/>
      </c>
      <c r="E28" s="18">
        <f>IF($B28="","",IF('Round 1'!$S$31=0,"",'Round 1'!$Q$57))</f>
        <v/>
      </c>
      <c r="F28" s="18">
        <f>IF($B28="","",IF('Round 2'!$S$31=0,"",'Round 2'!$F$57))</f>
        <v/>
      </c>
      <c r="G28" s="18">
        <f>IF($B28="","",IF('Round 2'!$S$31=0,"",'Round 2'!$Q$57))</f>
        <v/>
      </c>
      <c r="H28" s="18">
        <f>IF($B28="","",IF('Round 3'!$S$31=0,"",'Round 3'!$F$57))</f>
        <v/>
      </c>
      <c r="I28" s="18">
        <f>IF($B28="","",IF('Round 3'!$S$31=0,"",'Round 3'!$Q$57))</f>
        <v/>
      </c>
      <c r="J28" s="18">
        <f>IF($B28="","",IF('Round 4'!$S$31=0,"",'Round 4'!$F$57))</f>
        <v/>
      </c>
      <c r="K28" s="18">
        <f>IF($B28="","",IF('Round 4'!$S$31=0,"",'Round 4'!$Q$57))</f>
        <v/>
      </c>
      <c r="L28" s="18">
        <f>IF($B28="","",IF('Round 5'!$S$31=0,"",'Round 5'!$F$57))</f>
        <v/>
      </c>
      <c r="M28" s="18">
        <f>IF($B28="","",IF('Round 5'!$S$31=0,"",'Round 5'!$Q$57))</f>
        <v/>
      </c>
      <c r="N28" s="18">
        <f>IF($B28="","",IF('Round 6'!$S$31=0,"",'Round 6'!$F$57))</f>
        <v/>
      </c>
      <c r="O28" s="18">
        <f>IF($B28="","",IF('Round 6'!$S$31=0,"",'Round 6'!$Q$57))</f>
        <v/>
      </c>
      <c r="P28" s="18">
        <f>IF($B28="","",IF('Round 7'!$S$31=0,"",'Round 7'!$F$57))</f>
        <v/>
      </c>
      <c r="Q28" s="18">
        <f>IF($B28="","",IF('Round 7'!$S$31=0,"",'Round 7'!$Q$57))</f>
        <v/>
      </c>
      <c r="R28" s="18">
        <f>IF($B28="","",IF('Round 8'!$S$31=0,"",'Round 8'!$F$57))</f>
        <v/>
      </c>
      <c r="S28" s="18">
        <f>IF($B28="","",IF('Round 8'!$S$31=0,"",'Round 8'!$Q$57))</f>
        <v/>
      </c>
      <c r="T28" s="18">
        <f>IF($B28="","",IF('Round 9'!$S$31=0,"",'Round 9'!$F$57))</f>
        <v/>
      </c>
      <c r="U28" s="18">
        <f>IF($B28="","",IF('Round 9'!$S$31=0,"",'Round 9'!$Q$57))</f>
        <v/>
      </c>
      <c r="V28" s="18">
        <f>IF($B28="","",IF('Round 10'!$S$31=0,"",'Round 10'!$F$57))</f>
        <v/>
      </c>
      <c r="W28" s="18">
        <f>IF($B28="","",IF('Round 10'!$S$31=0,"",'Round 10'!$Q$57))</f>
        <v/>
      </c>
      <c r="Y28">
        <f>IF(OR($B28="",$Y$1=0),0,CHOOSE($Y$1,'Round 1'!$P$57,'Round 2'!$P$57,'Round 3'!$P$57,'Round 4'!$P$57,'Round 5'!$P$57,'Round 6'!$P$57,'Round 7'!$P$57,'Round 8'!$P$57,'Round 9'!$P$57,'Round 10'!$P$57))</f>
        <v/>
      </c>
    </row>
    <row r="29">
      <c r="A29" s="16">
        <f>IF($B29="","",1+SUMPRODUCT(($B$3:$B$34&lt;&gt;"")*(($C$3:$C$34&gt;C29)+(($C$3:$C$34=C29)*($Y$3:$Y$34&gt;Y29)))))</f>
        <v/>
      </c>
      <c r="B29" s="17">
        <f>IF(Setup!B31="","",Setup!B31)</f>
        <v/>
      </c>
      <c r="C29" s="16">
        <f>IF($B29="","",SUM(D29,F29,H29,J29,L29,N29,P29,R29,T29,V29))</f>
        <v/>
      </c>
      <c r="D29" s="18">
        <f>IF($B29="","",IF('Round 1'!$S$31=0,"",'Round 1'!$F$58))</f>
        <v/>
      </c>
      <c r="E29" s="18">
        <f>IF($B29="","",IF('Round 1'!$S$31=0,"",'Round 1'!$Q$58))</f>
        <v/>
      </c>
      <c r="F29" s="18">
        <f>IF($B29="","",IF('Round 2'!$S$31=0,"",'Round 2'!$F$58))</f>
        <v/>
      </c>
      <c r="G29" s="18">
        <f>IF($B29="","",IF('Round 2'!$S$31=0,"",'Round 2'!$Q$58))</f>
        <v/>
      </c>
      <c r="H29" s="18">
        <f>IF($B29="","",IF('Round 3'!$S$31=0,"",'Round 3'!$F$58))</f>
        <v/>
      </c>
      <c r="I29" s="18">
        <f>IF($B29="","",IF('Round 3'!$S$31=0,"",'Round 3'!$Q$58))</f>
        <v/>
      </c>
      <c r="J29" s="18">
        <f>IF($B29="","",IF('Round 4'!$S$31=0,"",'Round 4'!$F$58))</f>
        <v/>
      </c>
      <c r="K29" s="18">
        <f>IF($B29="","",IF('Round 4'!$S$31=0,"",'Round 4'!$Q$58))</f>
        <v/>
      </c>
      <c r="L29" s="18">
        <f>IF($B29="","",IF('Round 5'!$S$31=0,"",'Round 5'!$F$58))</f>
        <v/>
      </c>
      <c r="M29" s="18">
        <f>IF($B29="","",IF('Round 5'!$S$31=0,"",'Round 5'!$Q$58))</f>
        <v/>
      </c>
      <c r="N29" s="18">
        <f>IF($B29="","",IF('Round 6'!$S$31=0,"",'Round 6'!$F$58))</f>
        <v/>
      </c>
      <c r="O29" s="18">
        <f>IF($B29="","",IF('Round 6'!$S$31=0,"",'Round 6'!$Q$58))</f>
        <v/>
      </c>
      <c r="P29" s="18">
        <f>IF($B29="","",IF('Round 7'!$S$31=0,"",'Round 7'!$F$58))</f>
        <v/>
      </c>
      <c r="Q29" s="18">
        <f>IF($B29="","",IF('Round 7'!$S$31=0,"",'Round 7'!$Q$58))</f>
        <v/>
      </c>
      <c r="R29" s="18">
        <f>IF($B29="","",IF('Round 8'!$S$31=0,"",'Round 8'!$F$58))</f>
        <v/>
      </c>
      <c r="S29" s="18">
        <f>IF($B29="","",IF('Round 8'!$S$31=0,"",'Round 8'!$Q$58))</f>
        <v/>
      </c>
      <c r="T29" s="18">
        <f>IF($B29="","",IF('Round 9'!$S$31=0,"",'Round 9'!$F$58))</f>
        <v/>
      </c>
      <c r="U29" s="18">
        <f>IF($B29="","",IF('Round 9'!$S$31=0,"",'Round 9'!$Q$58))</f>
        <v/>
      </c>
      <c r="V29" s="18">
        <f>IF($B29="","",IF('Round 10'!$S$31=0,"",'Round 10'!$F$58))</f>
        <v/>
      </c>
      <c r="W29" s="18">
        <f>IF($B29="","",IF('Round 10'!$S$31=0,"",'Round 10'!$Q$58))</f>
        <v/>
      </c>
      <c r="Y29">
        <f>IF(OR($B29="",$Y$1=0),0,CHOOSE($Y$1,'Round 1'!$P$58,'Round 2'!$P$58,'Round 3'!$P$58,'Round 4'!$P$58,'Round 5'!$P$58,'Round 6'!$P$58,'Round 7'!$P$58,'Round 8'!$P$58,'Round 9'!$P$58,'Round 10'!$P$58))</f>
        <v/>
      </c>
    </row>
    <row r="30">
      <c r="A30" s="16">
        <f>IF($B30="","",1+SUMPRODUCT(($B$3:$B$34&lt;&gt;"")*(($C$3:$C$34&gt;C30)+(($C$3:$C$34=C30)*($Y$3:$Y$34&gt;Y30)))))</f>
        <v/>
      </c>
      <c r="B30" s="17">
        <f>IF(Setup!B32="","",Setup!B32)</f>
        <v/>
      </c>
      <c r="C30" s="16">
        <f>IF($B30="","",SUM(D30,F30,H30,J30,L30,N30,P30,R30,T30,V30))</f>
        <v/>
      </c>
      <c r="D30" s="18">
        <f>IF($B30="","",IF('Round 1'!$S$31=0,"",'Round 1'!$F$59))</f>
        <v/>
      </c>
      <c r="E30" s="18">
        <f>IF($B30="","",IF('Round 1'!$S$31=0,"",'Round 1'!$Q$59))</f>
        <v/>
      </c>
      <c r="F30" s="18">
        <f>IF($B30="","",IF('Round 2'!$S$31=0,"",'Round 2'!$F$59))</f>
        <v/>
      </c>
      <c r="G30" s="18">
        <f>IF($B30="","",IF('Round 2'!$S$31=0,"",'Round 2'!$Q$59))</f>
        <v/>
      </c>
      <c r="H30" s="18">
        <f>IF($B30="","",IF('Round 3'!$S$31=0,"",'Round 3'!$F$59))</f>
        <v/>
      </c>
      <c r="I30" s="18">
        <f>IF($B30="","",IF('Round 3'!$S$31=0,"",'Round 3'!$Q$59))</f>
        <v/>
      </c>
      <c r="J30" s="18">
        <f>IF($B30="","",IF('Round 4'!$S$31=0,"",'Round 4'!$F$59))</f>
        <v/>
      </c>
      <c r="K30" s="18">
        <f>IF($B30="","",IF('Round 4'!$S$31=0,"",'Round 4'!$Q$59))</f>
        <v/>
      </c>
      <c r="L30" s="18">
        <f>IF($B30="","",IF('Round 5'!$S$31=0,"",'Round 5'!$F$59))</f>
        <v/>
      </c>
      <c r="M30" s="18">
        <f>IF($B30="","",IF('Round 5'!$S$31=0,"",'Round 5'!$Q$59))</f>
        <v/>
      </c>
      <c r="N30" s="18">
        <f>IF($B30="","",IF('Round 6'!$S$31=0,"",'Round 6'!$F$59))</f>
        <v/>
      </c>
      <c r="O30" s="18">
        <f>IF($B30="","",IF('Round 6'!$S$31=0,"",'Round 6'!$Q$59))</f>
        <v/>
      </c>
      <c r="P30" s="18">
        <f>IF($B30="","",IF('Round 7'!$S$31=0,"",'Round 7'!$F$59))</f>
        <v/>
      </c>
      <c r="Q30" s="18">
        <f>IF($B30="","",IF('Round 7'!$S$31=0,"",'Round 7'!$Q$59))</f>
        <v/>
      </c>
      <c r="R30" s="18">
        <f>IF($B30="","",IF('Round 8'!$S$31=0,"",'Round 8'!$F$59))</f>
        <v/>
      </c>
      <c r="S30" s="18">
        <f>IF($B30="","",IF('Round 8'!$S$31=0,"",'Round 8'!$Q$59))</f>
        <v/>
      </c>
      <c r="T30" s="18">
        <f>IF($B30="","",IF('Round 9'!$S$31=0,"",'Round 9'!$F$59))</f>
        <v/>
      </c>
      <c r="U30" s="18">
        <f>IF($B30="","",IF('Round 9'!$S$31=0,"",'Round 9'!$Q$59))</f>
        <v/>
      </c>
      <c r="V30" s="18">
        <f>IF($B30="","",IF('Round 10'!$S$31=0,"",'Round 10'!$F$59))</f>
        <v/>
      </c>
      <c r="W30" s="18">
        <f>IF($B30="","",IF('Round 10'!$S$31=0,"",'Round 10'!$Q$59))</f>
        <v/>
      </c>
      <c r="Y30">
        <f>IF(OR($B30="",$Y$1=0),0,CHOOSE($Y$1,'Round 1'!$P$59,'Round 2'!$P$59,'Round 3'!$P$59,'Round 4'!$P$59,'Round 5'!$P$59,'Round 6'!$P$59,'Round 7'!$P$59,'Round 8'!$P$59,'Round 9'!$P$59,'Round 10'!$P$59))</f>
        <v/>
      </c>
    </row>
    <row r="31">
      <c r="A31" s="16">
        <f>IF($B31="","",1+SUMPRODUCT(($B$3:$B$34&lt;&gt;"")*(($C$3:$C$34&gt;C31)+(($C$3:$C$34=C31)*($Y$3:$Y$34&gt;Y31)))))</f>
        <v/>
      </c>
      <c r="B31" s="17">
        <f>IF(Setup!B33="","",Setup!B33)</f>
        <v/>
      </c>
      <c r="C31" s="16">
        <f>IF($B31="","",SUM(D31,F31,H31,J31,L31,N31,P31,R31,T31,V31))</f>
        <v/>
      </c>
      <c r="D31" s="18">
        <f>IF($B31="","",IF('Round 1'!$S$31=0,"",'Round 1'!$F$60))</f>
        <v/>
      </c>
      <c r="E31" s="18">
        <f>IF($B31="","",IF('Round 1'!$S$31=0,"",'Round 1'!$Q$60))</f>
        <v/>
      </c>
      <c r="F31" s="18">
        <f>IF($B31="","",IF('Round 2'!$S$31=0,"",'Round 2'!$F$60))</f>
        <v/>
      </c>
      <c r="G31" s="18">
        <f>IF($B31="","",IF('Round 2'!$S$31=0,"",'Round 2'!$Q$60))</f>
        <v/>
      </c>
      <c r="H31" s="18">
        <f>IF($B31="","",IF('Round 3'!$S$31=0,"",'Round 3'!$F$60))</f>
        <v/>
      </c>
      <c r="I31" s="18">
        <f>IF($B31="","",IF('Round 3'!$S$31=0,"",'Round 3'!$Q$60))</f>
        <v/>
      </c>
      <c r="J31" s="18">
        <f>IF($B31="","",IF('Round 4'!$S$31=0,"",'Round 4'!$F$60))</f>
        <v/>
      </c>
      <c r="K31" s="18">
        <f>IF($B31="","",IF('Round 4'!$S$31=0,"",'Round 4'!$Q$60))</f>
        <v/>
      </c>
      <c r="L31" s="18">
        <f>IF($B31="","",IF('Round 5'!$S$31=0,"",'Round 5'!$F$60))</f>
        <v/>
      </c>
      <c r="M31" s="18">
        <f>IF($B31="","",IF('Round 5'!$S$31=0,"",'Round 5'!$Q$60))</f>
        <v/>
      </c>
      <c r="N31" s="18">
        <f>IF($B31="","",IF('Round 6'!$S$31=0,"",'Round 6'!$F$60))</f>
        <v/>
      </c>
      <c r="O31" s="18">
        <f>IF($B31="","",IF('Round 6'!$S$31=0,"",'Round 6'!$Q$60))</f>
        <v/>
      </c>
      <c r="P31" s="18">
        <f>IF($B31="","",IF('Round 7'!$S$31=0,"",'Round 7'!$F$60))</f>
        <v/>
      </c>
      <c r="Q31" s="18">
        <f>IF($B31="","",IF('Round 7'!$S$31=0,"",'Round 7'!$Q$60))</f>
        <v/>
      </c>
      <c r="R31" s="18">
        <f>IF($B31="","",IF('Round 8'!$S$31=0,"",'Round 8'!$F$60))</f>
        <v/>
      </c>
      <c r="S31" s="18">
        <f>IF($B31="","",IF('Round 8'!$S$31=0,"",'Round 8'!$Q$60))</f>
        <v/>
      </c>
      <c r="T31" s="18">
        <f>IF($B31="","",IF('Round 9'!$S$31=0,"",'Round 9'!$F$60))</f>
        <v/>
      </c>
      <c r="U31" s="18">
        <f>IF($B31="","",IF('Round 9'!$S$31=0,"",'Round 9'!$Q$60))</f>
        <v/>
      </c>
      <c r="V31" s="18">
        <f>IF($B31="","",IF('Round 10'!$S$31=0,"",'Round 10'!$F$60))</f>
        <v/>
      </c>
      <c r="W31" s="18">
        <f>IF($B31="","",IF('Round 10'!$S$31=0,"",'Round 10'!$Q$60))</f>
        <v/>
      </c>
      <c r="Y31">
        <f>IF(OR($B31="",$Y$1=0),0,CHOOSE($Y$1,'Round 1'!$P$60,'Round 2'!$P$60,'Round 3'!$P$60,'Round 4'!$P$60,'Round 5'!$P$60,'Round 6'!$P$60,'Round 7'!$P$60,'Round 8'!$P$60,'Round 9'!$P$60,'Round 10'!$P$60))</f>
        <v/>
      </c>
    </row>
    <row r="32">
      <c r="A32" s="16">
        <f>IF($B32="","",1+SUMPRODUCT(($B$3:$B$34&lt;&gt;"")*(($C$3:$C$34&gt;C32)+(($C$3:$C$34=C32)*($Y$3:$Y$34&gt;Y32)))))</f>
        <v/>
      </c>
      <c r="B32" s="17">
        <f>IF(Setup!B34="","",Setup!B34)</f>
        <v/>
      </c>
      <c r="C32" s="16">
        <f>IF($B32="","",SUM(D32,F32,H32,J32,L32,N32,P32,R32,T32,V32))</f>
        <v/>
      </c>
      <c r="D32" s="18">
        <f>IF($B32="","",IF('Round 1'!$S$31=0,"",'Round 1'!$F$61))</f>
        <v/>
      </c>
      <c r="E32" s="18">
        <f>IF($B32="","",IF('Round 1'!$S$31=0,"",'Round 1'!$Q$61))</f>
        <v/>
      </c>
      <c r="F32" s="18">
        <f>IF($B32="","",IF('Round 2'!$S$31=0,"",'Round 2'!$F$61))</f>
        <v/>
      </c>
      <c r="G32" s="18">
        <f>IF($B32="","",IF('Round 2'!$S$31=0,"",'Round 2'!$Q$61))</f>
        <v/>
      </c>
      <c r="H32" s="18">
        <f>IF($B32="","",IF('Round 3'!$S$31=0,"",'Round 3'!$F$61))</f>
        <v/>
      </c>
      <c r="I32" s="18">
        <f>IF($B32="","",IF('Round 3'!$S$31=0,"",'Round 3'!$Q$61))</f>
        <v/>
      </c>
      <c r="J32" s="18">
        <f>IF($B32="","",IF('Round 4'!$S$31=0,"",'Round 4'!$F$61))</f>
        <v/>
      </c>
      <c r="K32" s="18">
        <f>IF($B32="","",IF('Round 4'!$S$31=0,"",'Round 4'!$Q$61))</f>
        <v/>
      </c>
      <c r="L32" s="18">
        <f>IF($B32="","",IF('Round 5'!$S$31=0,"",'Round 5'!$F$61))</f>
        <v/>
      </c>
      <c r="M32" s="18">
        <f>IF($B32="","",IF('Round 5'!$S$31=0,"",'Round 5'!$Q$61))</f>
        <v/>
      </c>
      <c r="N32" s="18">
        <f>IF($B32="","",IF('Round 6'!$S$31=0,"",'Round 6'!$F$61))</f>
        <v/>
      </c>
      <c r="O32" s="18">
        <f>IF($B32="","",IF('Round 6'!$S$31=0,"",'Round 6'!$Q$61))</f>
        <v/>
      </c>
      <c r="P32" s="18">
        <f>IF($B32="","",IF('Round 7'!$S$31=0,"",'Round 7'!$F$61))</f>
        <v/>
      </c>
      <c r="Q32" s="18">
        <f>IF($B32="","",IF('Round 7'!$S$31=0,"",'Round 7'!$Q$61))</f>
        <v/>
      </c>
      <c r="R32" s="18">
        <f>IF($B32="","",IF('Round 8'!$S$31=0,"",'Round 8'!$F$61))</f>
        <v/>
      </c>
      <c r="S32" s="18">
        <f>IF($B32="","",IF('Round 8'!$S$31=0,"",'Round 8'!$Q$61))</f>
        <v/>
      </c>
      <c r="T32" s="18">
        <f>IF($B32="","",IF('Round 9'!$S$31=0,"",'Round 9'!$F$61))</f>
        <v/>
      </c>
      <c r="U32" s="18">
        <f>IF($B32="","",IF('Round 9'!$S$31=0,"",'Round 9'!$Q$61))</f>
        <v/>
      </c>
      <c r="V32" s="18">
        <f>IF($B32="","",IF('Round 10'!$S$31=0,"",'Round 10'!$F$61))</f>
        <v/>
      </c>
      <c r="W32" s="18">
        <f>IF($B32="","",IF('Round 10'!$S$31=0,"",'Round 10'!$Q$61))</f>
        <v/>
      </c>
      <c r="Y32">
        <f>IF(OR($B32="",$Y$1=0),0,CHOOSE($Y$1,'Round 1'!$P$61,'Round 2'!$P$61,'Round 3'!$P$61,'Round 4'!$P$61,'Round 5'!$P$61,'Round 6'!$P$61,'Round 7'!$P$61,'Round 8'!$P$61,'Round 9'!$P$61,'Round 10'!$P$61))</f>
        <v/>
      </c>
    </row>
    <row r="33">
      <c r="A33" s="16">
        <f>IF($B33="","",1+SUMPRODUCT(($B$3:$B$34&lt;&gt;"")*(($C$3:$C$34&gt;C33)+(($C$3:$C$34=C33)*($Y$3:$Y$34&gt;Y33)))))</f>
        <v/>
      </c>
      <c r="B33" s="17">
        <f>IF(Setup!B35="","",Setup!B35)</f>
        <v/>
      </c>
      <c r="C33" s="16">
        <f>IF($B33="","",SUM(D33,F33,H33,J33,L33,N33,P33,R33,T33,V33))</f>
        <v/>
      </c>
      <c r="D33" s="18">
        <f>IF($B33="","",IF('Round 1'!$S$31=0,"",'Round 1'!$F$62))</f>
        <v/>
      </c>
      <c r="E33" s="18">
        <f>IF($B33="","",IF('Round 1'!$S$31=0,"",'Round 1'!$Q$62))</f>
        <v/>
      </c>
      <c r="F33" s="18">
        <f>IF($B33="","",IF('Round 2'!$S$31=0,"",'Round 2'!$F$62))</f>
        <v/>
      </c>
      <c r="G33" s="18">
        <f>IF($B33="","",IF('Round 2'!$S$31=0,"",'Round 2'!$Q$62))</f>
        <v/>
      </c>
      <c r="H33" s="18">
        <f>IF($B33="","",IF('Round 3'!$S$31=0,"",'Round 3'!$F$62))</f>
        <v/>
      </c>
      <c r="I33" s="18">
        <f>IF($B33="","",IF('Round 3'!$S$31=0,"",'Round 3'!$Q$62))</f>
        <v/>
      </c>
      <c r="J33" s="18">
        <f>IF($B33="","",IF('Round 4'!$S$31=0,"",'Round 4'!$F$62))</f>
        <v/>
      </c>
      <c r="K33" s="18">
        <f>IF($B33="","",IF('Round 4'!$S$31=0,"",'Round 4'!$Q$62))</f>
        <v/>
      </c>
      <c r="L33" s="18">
        <f>IF($B33="","",IF('Round 5'!$S$31=0,"",'Round 5'!$F$62))</f>
        <v/>
      </c>
      <c r="M33" s="18">
        <f>IF($B33="","",IF('Round 5'!$S$31=0,"",'Round 5'!$Q$62))</f>
        <v/>
      </c>
      <c r="N33" s="18">
        <f>IF($B33="","",IF('Round 6'!$S$31=0,"",'Round 6'!$F$62))</f>
        <v/>
      </c>
      <c r="O33" s="18">
        <f>IF($B33="","",IF('Round 6'!$S$31=0,"",'Round 6'!$Q$62))</f>
        <v/>
      </c>
      <c r="P33" s="18">
        <f>IF($B33="","",IF('Round 7'!$S$31=0,"",'Round 7'!$F$62))</f>
        <v/>
      </c>
      <c r="Q33" s="18">
        <f>IF($B33="","",IF('Round 7'!$S$31=0,"",'Round 7'!$Q$62))</f>
        <v/>
      </c>
      <c r="R33" s="18">
        <f>IF($B33="","",IF('Round 8'!$S$31=0,"",'Round 8'!$F$62))</f>
        <v/>
      </c>
      <c r="S33" s="18">
        <f>IF($B33="","",IF('Round 8'!$S$31=0,"",'Round 8'!$Q$62))</f>
        <v/>
      </c>
      <c r="T33" s="18">
        <f>IF($B33="","",IF('Round 9'!$S$31=0,"",'Round 9'!$F$62))</f>
        <v/>
      </c>
      <c r="U33" s="18">
        <f>IF($B33="","",IF('Round 9'!$S$31=0,"",'Round 9'!$Q$62))</f>
        <v/>
      </c>
      <c r="V33" s="18">
        <f>IF($B33="","",IF('Round 10'!$S$31=0,"",'Round 10'!$F$62))</f>
        <v/>
      </c>
      <c r="W33" s="18">
        <f>IF($B33="","",IF('Round 10'!$S$31=0,"",'Round 10'!$Q$62))</f>
        <v/>
      </c>
      <c r="Y33">
        <f>IF(OR($B33="",$Y$1=0),0,CHOOSE($Y$1,'Round 1'!$P$62,'Round 2'!$P$62,'Round 3'!$P$62,'Round 4'!$P$62,'Round 5'!$P$62,'Round 6'!$P$62,'Round 7'!$P$62,'Round 8'!$P$62,'Round 9'!$P$62,'Round 10'!$P$62))</f>
        <v/>
      </c>
    </row>
    <row r="34">
      <c r="A34" s="16">
        <f>IF($B34="","",1+SUMPRODUCT(($B$3:$B$34&lt;&gt;"")*(($C$3:$C$34&gt;C34)+(($C$3:$C$34=C34)*($Y$3:$Y$34&gt;Y34)))))</f>
        <v/>
      </c>
      <c r="B34" s="17">
        <f>IF(Setup!B36="","",Setup!B36)</f>
        <v/>
      </c>
      <c r="C34" s="16">
        <f>IF($B34="","",SUM(D34,F34,H34,J34,L34,N34,P34,R34,T34,V34))</f>
        <v/>
      </c>
      <c r="D34" s="18">
        <f>IF($B34="","",IF('Round 1'!$S$31=0,"",'Round 1'!$F$63))</f>
        <v/>
      </c>
      <c r="E34" s="18">
        <f>IF($B34="","",IF('Round 1'!$S$31=0,"",'Round 1'!$Q$63))</f>
        <v/>
      </c>
      <c r="F34" s="18">
        <f>IF($B34="","",IF('Round 2'!$S$31=0,"",'Round 2'!$F$63))</f>
        <v/>
      </c>
      <c r="G34" s="18">
        <f>IF($B34="","",IF('Round 2'!$S$31=0,"",'Round 2'!$Q$63))</f>
        <v/>
      </c>
      <c r="H34" s="18">
        <f>IF($B34="","",IF('Round 3'!$S$31=0,"",'Round 3'!$F$63))</f>
        <v/>
      </c>
      <c r="I34" s="18">
        <f>IF($B34="","",IF('Round 3'!$S$31=0,"",'Round 3'!$Q$63))</f>
        <v/>
      </c>
      <c r="J34" s="18">
        <f>IF($B34="","",IF('Round 4'!$S$31=0,"",'Round 4'!$F$63))</f>
        <v/>
      </c>
      <c r="K34" s="18">
        <f>IF($B34="","",IF('Round 4'!$S$31=0,"",'Round 4'!$Q$63))</f>
        <v/>
      </c>
      <c r="L34" s="18">
        <f>IF($B34="","",IF('Round 5'!$S$31=0,"",'Round 5'!$F$63))</f>
        <v/>
      </c>
      <c r="M34" s="18">
        <f>IF($B34="","",IF('Round 5'!$S$31=0,"",'Round 5'!$Q$63))</f>
        <v/>
      </c>
      <c r="N34" s="18">
        <f>IF($B34="","",IF('Round 6'!$S$31=0,"",'Round 6'!$F$63))</f>
        <v/>
      </c>
      <c r="O34" s="18">
        <f>IF($B34="","",IF('Round 6'!$S$31=0,"",'Round 6'!$Q$63))</f>
        <v/>
      </c>
      <c r="P34" s="18">
        <f>IF($B34="","",IF('Round 7'!$S$31=0,"",'Round 7'!$F$63))</f>
        <v/>
      </c>
      <c r="Q34" s="18">
        <f>IF($B34="","",IF('Round 7'!$S$31=0,"",'Round 7'!$Q$63))</f>
        <v/>
      </c>
      <c r="R34" s="18">
        <f>IF($B34="","",IF('Round 8'!$S$31=0,"",'Round 8'!$F$63))</f>
        <v/>
      </c>
      <c r="S34" s="18">
        <f>IF($B34="","",IF('Round 8'!$S$31=0,"",'Round 8'!$Q$63))</f>
        <v/>
      </c>
      <c r="T34" s="18">
        <f>IF($B34="","",IF('Round 9'!$S$31=0,"",'Round 9'!$F$63))</f>
        <v/>
      </c>
      <c r="U34" s="18">
        <f>IF($B34="","",IF('Round 9'!$S$31=0,"",'Round 9'!$Q$63))</f>
        <v/>
      </c>
      <c r="V34" s="18">
        <f>IF($B34="","",IF('Round 10'!$S$31=0,"",'Round 10'!$F$63))</f>
        <v/>
      </c>
      <c r="W34" s="18">
        <f>IF($B34="","",IF('Round 10'!$S$31=0,"",'Round 10'!$Q$63))</f>
        <v/>
      </c>
      <c r="Y34">
        <f>IF(OR($B34="",$Y$1=0),0,CHOOSE($Y$1,'Round 1'!$P$63,'Round 2'!$P$63,'Round 3'!$P$63,'Round 4'!$P$63,'Round 5'!$P$63,'Round 6'!$P$63,'Round 7'!$P$63,'Round 8'!$P$63,'Round 9'!$P$63,'Round 10'!$P$63))</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4.xml><?xml version="1.0" encoding="utf-8"?>
<worksheet xmlns="http://schemas.openxmlformats.org/spreadsheetml/2006/main">
  <sheetPr>
    <tabColor rgb="007F7F7F"/>
    <outlinePr summaryBelow="1" summaryRight="1"/>
    <pageSetUpPr/>
  </sheetPr>
  <dimension ref="A1:O71"/>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s>
  <sheetData>
    <row r="1">
      <c r="A1" s="4" t="inlineStr">
        <is>
          <t>Players on trip:</t>
        </is>
      </c>
      <c r="B1" s="19">
        <f>COUNTA(Setup!$B$5:$B$36)</f>
        <v/>
      </c>
    </row>
    <row r="3">
      <c r="A3" s="8" t="inlineStr">
        <is>
          <t>No.</t>
        </is>
      </c>
      <c r="B3" s="8" t="inlineStr">
        <is>
          <t>Player</t>
        </is>
      </c>
      <c r="C3" s="8" t="inlineStr">
        <is>
          <t>Start H'cap</t>
        </is>
      </c>
      <c r="D3" s="8" t="inlineStr">
        <is>
          <t>Rd 1</t>
        </is>
      </c>
      <c r="E3" s="8" t="inlineStr">
        <is>
          <t>Rd 2</t>
        </is>
      </c>
      <c r="F3" s="8" t="inlineStr">
        <is>
          <t>Rd 3</t>
        </is>
      </c>
      <c r="G3" s="8" t="inlineStr">
        <is>
          <t>Rd 4</t>
        </is>
      </c>
      <c r="H3" s="8" t="inlineStr">
        <is>
          <t>Rd 5</t>
        </is>
      </c>
      <c r="I3" s="8" t="inlineStr">
        <is>
          <t>Rd 6</t>
        </is>
      </c>
      <c r="J3" s="8" t="inlineStr">
        <is>
          <t>Rd 7</t>
        </is>
      </c>
      <c r="K3" s="8" t="inlineStr">
        <is>
          <t>Rd 8</t>
        </is>
      </c>
      <c r="L3" s="8" t="inlineStr">
        <is>
          <t>Rd 9</t>
        </is>
      </c>
      <c r="M3" s="8" t="inlineStr">
        <is>
          <t>Rd 10</t>
        </is>
      </c>
      <c r="N3" s="8" t="inlineStr">
        <is>
          <t>End H'cap</t>
        </is>
      </c>
      <c r="O3" s="8" t="inlineStr">
        <is>
          <t>Total +/-</t>
        </is>
      </c>
    </row>
    <row r="4">
      <c r="A4" s="10" t="n">
        <v>1</v>
      </c>
      <c r="B4" s="17">
        <f>IF(Setup!B5="","",Setup!B5)</f>
        <v/>
      </c>
      <c r="C4" s="20">
        <f>IF($B4="","",N(Setup!E5))</f>
        <v/>
      </c>
      <c r="D4" s="20">
        <f>IF($B4="","",$C4)</f>
        <v/>
      </c>
      <c r="E4" s="20">
        <f>IF($B4="","",D4+IF('Round 1'!$S$31&gt;0,N(INDEX($B$40:$B$71,'Round 1'!$Q$32)),0))</f>
        <v/>
      </c>
      <c r="F4" s="20">
        <f>IF($B4="","",E4+IF('Round 2'!$S$31&gt;0,N(INDEX($B$40:$B$71,'Round 2'!$Q$32)),0))</f>
        <v/>
      </c>
      <c r="G4" s="20">
        <f>IF($B4="","",F4+IF('Round 3'!$S$31&gt;0,N(INDEX($B$40:$B$71,'Round 3'!$Q$32)),0))</f>
        <v/>
      </c>
      <c r="H4" s="20">
        <f>IF($B4="","",G4+IF('Round 4'!$S$31&gt;0,N(INDEX($B$40:$B$71,'Round 4'!$Q$32)),0))</f>
        <v/>
      </c>
      <c r="I4" s="20">
        <f>IF($B4="","",H4+IF('Round 5'!$S$31&gt;0,N(INDEX($B$40:$B$71,'Round 5'!$Q$32)),0))</f>
        <v/>
      </c>
      <c r="J4" s="20">
        <f>IF($B4="","",I4+IF('Round 6'!$S$31&gt;0,N(INDEX($B$40:$B$71,'Round 6'!$Q$32)),0))</f>
        <v/>
      </c>
      <c r="K4" s="20">
        <f>IF($B4="","",J4+IF('Round 7'!$S$31&gt;0,N(INDEX($B$40:$B$71,'Round 7'!$Q$32)),0))</f>
        <v/>
      </c>
      <c r="L4" s="20">
        <f>IF($B4="","",K4+IF('Round 8'!$S$31&gt;0,N(INDEX($B$40:$B$71,'Round 8'!$Q$32)),0))</f>
        <v/>
      </c>
      <c r="M4" s="20">
        <f>IF($B4="","",L4+IF('Round 9'!$S$31&gt;0,N(INDEX($B$40:$B$71,'Round 9'!$Q$32)),0))</f>
        <v/>
      </c>
      <c r="N4" s="20">
        <f>IF($B4="","",M4+IF('Round 10'!$S$31&gt;0,N(INDEX($B$40:$B$71,'Round 10'!$Q$32)),0))</f>
        <v/>
      </c>
      <c r="O4" s="21">
        <f>IF($B4="","",N4-$C4)</f>
        <v/>
      </c>
    </row>
    <row r="5">
      <c r="A5" s="10" t="n">
        <v>2</v>
      </c>
      <c r="B5" s="17">
        <f>IF(Setup!B6="","",Setup!B6)</f>
        <v/>
      </c>
      <c r="C5" s="20">
        <f>IF($B5="","",N(Setup!E6))</f>
        <v/>
      </c>
      <c r="D5" s="20">
        <f>IF($B5="","",$C5)</f>
        <v/>
      </c>
      <c r="E5" s="20">
        <f>IF($B5="","",D5+IF('Round 1'!$S$31&gt;0,N(INDEX($B$40:$B$71,'Round 1'!$Q$33)),0))</f>
        <v/>
      </c>
      <c r="F5" s="20">
        <f>IF($B5="","",E5+IF('Round 2'!$S$31&gt;0,N(INDEX($B$40:$B$71,'Round 2'!$Q$33)),0))</f>
        <v/>
      </c>
      <c r="G5" s="20">
        <f>IF($B5="","",F5+IF('Round 3'!$S$31&gt;0,N(INDEX($B$40:$B$71,'Round 3'!$Q$33)),0))</f>
        <v/>
      </c>
      <c r="H5" s="20">
        <f>IF($B5="","",G5+IF('Round 4'!$S$31&gt;0,N(INDEX($B$40:$B$71,'Round 4'!$Q$33)),0))</f>
        <v/>
      </c>
      <c r="I5" s="20">
        <f>IF($B5="","",H5+IF('Round 5'!$S$31&gt;0,N(INDEX($B$40:$B$71,'Round 5'!$Q$33)),0))</f>
        <v/>
      </c>
      <c r="J5" s="20">
        <f>IF($B5="","",I5+IF('Round 6'!$S$31&gt;0,N(INDEX($B$40:$B$71,'Round 6'!$Q$33)),0))</f>
        <v/>
      </c>
      <c r="K5" s="20">
        <f>IF($B5="","",J5+IF('Round 7'!$S$31&gt;0,N(INDEX($B$40:$B$71,'Round 7'!$Q$33)),0))</f>
        <v/>
      </c>
      <c r="L5" s="20">
        <f>IF($B5="","",K5+IF('Round 8'!$S$31&gt;0,N(INDEX($B$40:$B$71,'Round 8'!$Q$33)),0))</f>
        <v/>
      </c>
      <c r="M5" s="20">
        <f>IF($B5="","",L5+IF('Round 9'!$S$31&gt;0,N(INDEX($B$40:$B$71,'Round 9'!$Q$33)),0))</f>
        <v/>
      </c>
      <c r="N5" s="20">
        <f>IF($B5="","",M5+IF('Round 10'!$S$31&gt;0,N(INDEX($B$40:$B$71,'Round 10'!$Q$33)),0))</f>
        <v/>
      </c>
      <c r="O5" s="21">
        <f>IF($B5="","",N5-$C5)</f>
        <v/>
      </c>
    </row>
    <row r="6">
      <c r="A6" s="10" t="n">
        <v>3</v>
      </c>
      <c r="B6" s="17">
        <f>IF(Setup!B7="","",Setup!B7)</f>
        <v/>
      </c>
      <c r="C6" s="20">
        <f>IF($B6="","",N(Setup!E7))</f>
        <v/>
      </c>
      <c r="D6" s="20">
        <f>IF($B6="","",$C6)</f>
        <v/>
      </c>
      <c r="E6" s="20">
        <f>IF($B6="","",D6+IF('Round 1'!$S$31&gt;0,N(INDEX($B$40:$B$71,'Round 1'!$Q$34)),0))</f>
        <v/>
      </c>
      <c r="F6" s="20">
        <f>IF($B6="","",E6+IF('Round 2'!$S$31&gt;0,N(INDEX($B$40:$B$71,'Round 2'!$Q$34)),0))</f>
        <v/>
      </c>
      <c r="G6" s="20">
        <f>IF($B6="","",F6+IF('Round 3'!$S$31&gt;0,N(INDEX($B$40:$B$71,'Round 3'!$Q$34)),0))</f>
        <v/>
      </c>
      <c r="H6" s="20">
        <f>IF($B6="","",G6+IF('Round 4'!$S$31&gt;0,N(INDEX($B$40:$B$71,'Round 4'!$Q$34)),0))</f>
        <v/>
      </c>
      <c r="I6" s="20">
        <f>IF($B6="","",H6+IF('Round 5'!$S$31&gt;0,N(INDEX($B$40:$B$71,'Round 5'!$Q$34)),0))</f>
        <v/>
      </c>
      <c r="J6" s="20">
        <f>IF($B6="","",I6+IF('Round 6'!$S$31&gt;0,N(INDEX($B$40:$B$71,'Round 6'!$Q$34)),0))</f>
        <v/>
      </c>
      <c r="K6" s="20">
        <f>IF($B6="","",J6+IF('Round 7'!$S$31&gt;0,N(INDEX($B$40:$B$71,'Round 7'!$Q$34)),0))</f>
        <v/>
      </c>
      <c r="L6" s="20">
        <f>IF($B6="","",K6+IF('Round 8'!$S$31&gt;0,N(INDEX($B$40:$B$71,'Round 8'!$Q$34)),0))</f>
        <v/>
      </c>
      <c r="M6" s="20">
        <f>IF($B6="","",L6+IF('Round 9'!$S$31&gt;0,N(INDEX($B$40:$B$71,'Round 9'!$Q$34)),0))</f>
        <v/>
      </c>
      <c r="N6" s="20">
        <f>IF($B6="","",M6+IF('Round 10'!$S$31&gt;0,N(INDEX($B$40:$B$71,'Round 10'!$Q$34)),0))</f>
        <v/>
      </c>
      <c r="O6" s="21">
        <f>IF($B6="","",N6-$C6)</f>
        <v/>
      </c>
    </row>
    <row r="7">
      <c r="A7" s="10" t="n">
        <v>4</v>
      </c>
      <c r="B7" s="17">
        <f>IF(Setup!B8="","",Setup!B8)</f>
        <v/>
      </c>
      <c r="C7" s="20">
        <f>IF($B7="","",N(Setup!E8))</f>
        <v/>
      </c>
      <c r="D7" s="20">
        <f>IF($B7="","",$C7)</f>
        <v/>
      </c>
      <c r="E7" s="20">
        <f>IF($B7="","",D7+IF('Round 1'!$S$31&gt;0,N(INDEX($B$40:$B$71,'Round 1'!$Q$35)),0))</f>
        <v/>
      </c>
      <c r="F7" s="20">
        <f>IF($B7="","",E7+IF('Round 2'!$S$31&gt;0,N(INDEX($B$40:$B$71,'Round 2'!$Q$35)),0))</f>
        <v/>
      </c>
      <c r="G7" s="20">
        <f>IF($B7="","",F7+IF('Round 3'!$S$31&gt;0,N(INDEX($B$40:$B$71,'Round 3'!$Q$35)),0))</f>
        <v/>
      </c>
      <c r="H7" s="20">
        <f>IF($B7="","",G7+IF('Round 4'!$S$31&gt;0,N(INDEX($B$40:$B$71,'Round 4'!$Q$35)),0))</f>
        <v/>
      </c>
      <c r="I7" s="20">
        <f>IF($B7="","",H7+IF('Round 5'!$S$31&gt;0,N(INDEX($B$40:$B$71,'Round 5'!$Q$35)),0))</f>
        <v/>
      </c>
      <c r="J7" s="20">
        <f>IF($B7="","",I7+IF('Round 6'!$S$31&gt;0,N(INDEX($B$40:$B$71,'Round 6'!$Q$35)),0))</f>
        <v/>
      </c>
      <c r="K7" s="20">
        <f>IF($B7="","",J7+IF('Round 7'!$S$31&gt;0,N(INDEX($B$40:$B$71,'Round 7'!$Q$35)),0))</f>
        <v/>
      </c>
      <c r="L7" s="20">
        <f>IF($B7="","",K7+IF('Round 8'!$S$31&gt;0,N(INDEX($B$40:$B$71,'Round 8'!$Q$35)),0))</f>
        <v/>
      </c>
      <c r="M7" s="20">
        <f>IF($B7="","",L7+IF('Round 9'!$S$31&gt;0,N(INDEX($B$40:$B$71,'Round 9'!$Q$35)),0))</f>
        <v/>
      </c>
      <c r="N7" s="20">
        <f>IF($B7="","",M7+IF('Round 10'!$S$31&gt;0,N(INDEX($B$40:$B$71,'Round 10'!$Q$35)),0))</f>
        <v/>
      </c>
      <c r="O7" s="21">
        <f>IF($B7="","",N7-$C7)</f>
        <v/>
      </c>
    </row>
    <row r="8">
      <c r="A8" s="10" t="n">
        <v>5</v>
      </c>
      <c r="B8" s="17">
        <f>IF(Setup!B9="","",Setup!B9)</f>
        <v/>
      </c>
      <c r="C8" s="20">
        <f>IF($B8="","",N(Setup!E9))</f>
        <v/>
      </c>
      <c r="D8" s="20">
        <f>IF($B8="","",$C8)</f>
        <v/>
      </c>
      <c r="E8" s="20">
        <f>IF($B8="","",D8+IF('Round 1'!$S$31&gt;0,N(INDEX($B$40:$B$71,'Round 1'!$Q$36)),0))</f>
        <v/>
      </c>
      <c r="F8" s="20">
        <f>IF($B8="","",E8+IF('Round 2'!$S$31&gt;0,N(INDEX($B$40:$B$71,'Round 2'!$Q$36)),0))</f>
        <v/>
      </c>
      <c r="G8" s="20">
        <f>IF($B8="","",F8+IF('Round 3'!$S$31&gt;0,N(INDEX($B$40:$B$71,'Round 3'!$Q$36)),0))</f>
        <v/>
      </c>
      <c r="H8" s="20">
        <f>IF($B8="","",G8+IF('Round 4'!$S$31&gt;0,N(INDEX($B$40:$B$71,'Round 4'!$Q$36)),0))</f>
        <v/>
      </c>
      <c r="I8" s="20">
        <f>IF($B8="","",H8+IF('Round 5'!$S$31&gt;0,N(INDEX($B$40:$B$71,'Round 5'!$Q$36)),0))</f>
        <v/>
      </c>
      <c r="J8" s="20">
        <f>IF($B8="","",I8+IF('Round 6'!$S$31&gt;0,N(INDEX($B$40:$B$71,'Round 6'!$Q$36)),0))</f>
        <v/>
      </c>
      <c r="K8" s="20">
        <f>IF($B8="","",J8+IF('Round 7'!$S$31&gt;0,N(INDEX($B$40:$B$71,'Round 7'!$Q$36)),0))</f>
        <v/>
      </c>
      <c r="L8" s="20">
        <f>IF($B8="","",K8+IF('Round 8'!$S$31&gt;0,N(INDEX($B$40:$B$71,'Round 8'!$Q$36)),0))</f>
        <v/>
      </c>
      <c r="M8" s="20">
        <f>IF($B8="","",L8+IF('Round 9'!$S$31&gt;0,N(INDEX($B$40:$B$71,'Round 9'!$Q$36)),0))</f>
        <v/>
      </c>
      <c r="N8" s="20">
        <f>IF($B8="","",M8+IF('Round 10'!$S$31&gt;0,N(INDEX($B$40:$B$71,'Round 10'!$Q$36)),0))</f>
        <v/>
      </c>
      <c r="O8" s="21">
        <f>IF($B8="","",N8-$C8)</f>
        <v/>
      </c>
    </row>
    <row r="9">
      <c r="A9" s="10" t="n">
        <v>6</v>
      </c>
      <c r="B9" s="17">
        <f>IF(Setup!B10="","",Setup!B10)</f>
        <v/>
      </c>
      <c r="C9" s="20">
        <f>IF($B9="","",N(Setup!E10))</f>
        <v/>
      </c>
      <c r="D9" s="20">
        <f>IF($B9="","",$C9)</f>
        <v/>
      </c>
      <c r="E9" s="20">
        <f>IF($B9="","",D9+IF('Round 1'!$S$31&gt;0,N(INDEX($B$40:$B$71,'Round 1'!$Q$37)),0))</f>
        <v/>
      </c>
      <c r="F9" s="20">
        <f>IF($B9="","",E9+IF('Round 2'!$S$31&gt;0,N(INDEX($B$40:$B$71,'Round 2'!$Q$37)),0))</f>
        <v/>
      </c>
      <c r="G9" s="20">
        <f>IF($B9="","",F9+IF('Round 3'!$S$31&gt;0,N(INDEX($B$40:$B$71,'Round 3'!$Q$37)),0))</f>
        <v/>
      </c>
      <c r="H9" s="20">
        <f>IF($B9="","",G9+IF('Round 4'!$S$31&gt;0,N(INDEX($B$40:$B$71,'Round 4'!$Q$37)),0))</f>
        <v/>
      </c>
      <c r="I9" s="20">
        <f>IF($B9="","",H9+IF('Round 5'!$S$31&gt;0,N(INDEX($B$40:$B$71,'Round 5'!$Q$37)),0))</f>
        <v/>
      </c>
      <c r="J9" s="20">
        <f>IF($B9="","",I9+IF('Round 6'!$S$31&gt;0,N(INDEX($B$40:$B$71,'Round 6'!$Q$37)),0))</f>
        <v/>
      </c>
      <c r="K9" s="20">
        <f>IF($B9="","",J9+IF('Round 7'!$S$31&gt;0,N(INDEX($B$40:$B$71,'Round 7'!$Q$37)),0))</f>
        <v/>
      </c>
      <c r="L9" s="20">
        <f>IF($B9="","",K9+IF('Round 8'!$S$31&gt;0,N(INDEX($B$40:$B$71,'Round 8'!$Q$37)),0))</f>
        <v/>
      </c>
      <c r="M9" s="20">
        <f>IF($B9="","",L9+IF('Round 9'!$S$31&gt;0,N(INDEX($B$40:$B$71,'Round 9'!$Q$37)),0))</f>
        <v/>
      </c>
      <c r="N9" s="20">
        <f>IF($B9="","",M9+IF('Round 10'!$S$31&gt;0,N(INDEX($B$40:$B$71,'Round 10'!$Q$37)),0))</f>
        <v/>
      </c>
      <c r="O9" s="21">
        <f>IF($B9="","",N9-$C9)</f>
        <v/>
      </c>
    </row>
    <row r="10">
      <c r="A10" s="10" t="n">
        <v>7</v>
      </c>
      <c r="B10" s="17">
        <f>IF(Setup!B11="","",Setup!B11)</f>
        <v/>
      </c>
      <c r="C10" s="20">
        <f>IF($B10="","",N(Setup!E11))</f>
        <v/>
      </c>
      <c r="D10" s="20">
        <f>IF($B10="","",$C10)</f>
        <v/>
      </c>
      <c r="E10" s="20">
        <f>IF($B10="","",D10+IF('Round 1'!$S$31&gt;0,N(INDEX($B$40:$B$71,'Round 1'!$Q$38)),0))</f>
        <v/>
      </c>
      <c r="F10" s="20">
        <f>IF($B10="","",E10+IF('Round 2'!$S$31&gt;0,N(INDEX($B$40:$B$71,'Round 2'!$Q$38)),0))</f>
        <v/>
      </c>
      <c r="G10" s="20">
        <f>IF($B10="","",F10+IF('Round 3'!$S$31&gt;0,N(INDEX($B$40:$B$71,'Round 3'!$Q$38)),0))</f>
        <v/>
      </c>
      <c r="H10" s="20">
        <f>IF($B10="","",G10+IF('Round 4'!$S$31&gt;0,N(INDEX($B$40:$B$71,'Round 4'!$Q$38)),0))</f>
        <v/>
      </c>
      <c r="I10" s="20">
        <f>IF($B10="","",H10+IF('Round 5'!$S$31&gt;0,N(INDEX($B$40:$B$71,'Round 5'!$Q$38)),0))</f>
        <v/>
      </c>
      <c r="J10" s="20">
        <f>IF($B10="","",I10+IF('Round 6'!$S$31&gt;0,N(INDEX($B$40:$B$71,'Round 6'!$Q$38)),0))</f>
        <v/>
      </c>
      <c r="K10" s="20">
        <f>IF($B10="","",J10+IF('Round 7'!$S$31&gt;0,N(INDEX($B$40:$B$71,'Round 7'!$Q$38)),0))</f>
        <v/>
      </c>
      <c r="L10" s="20">
        <f>IF($B10="","",K10+IF('Round 8'!$S$31&gt;0,N(INDEX($B$40:$B$71,'Round 8'!$Q$38)),0))</f>
        <v/>
      </c>
      <c r="M10" s="20">
        <f>IF($B10="","",L10+IF('Round 9'!$S$31&gt;0,N(INDEX($B$40:$B$71,'Round 9'!$Q$38)),0))</f>
        <v/>
      </c>
      <c r="N10" s="20">
        <f>IF($B10="","",M10+IF('Round 10'!$S$31&gt;0,N(INDEX($B$40:$B$71,'Round 10'!$Q$38)),0))</f>
        <v/>
      </c>
      <c r="O10" s="21">
        <f>IF($B10="","",N10-$C10)</f>
        <v/>
      </c>
    </row>
    <row r="11">
      <c r="A11" s="10" t="n">
        <v>8</v>
      </c>
      <c r="B11" s="17">
        <f>IF(Setup!B12="","",Setup!B12)</f>
        <v/>
      </c>
      <c r="C11" s="20">
        <f>IF($B11="","",N(Setup!E12))</f>
        <v/>
      </c>
      <c r="D11" s="20">
        <f>IF($B11="","",$C11)</f>
        <v/>
      </c>
      <c r="E11" s="20">
        <f>IF($B11="","",D11+IF('Round 1'!$S$31&gt;0,N(INDEX($B$40:$B$71,'Round 1'!$Q$39)),0))</f>
        <v/>
      </c>
      <c r="F11" s="20">
        <f>IF($B11="","",E11+IF('Round 2'!$S$31&gt;0,N(INDEX($B$40:$B$71,'Round 2'!$Q$39)),0))</f>
        <v/>
      </c>
      <c r="G11" s="20">
        <f>IF($B11="","",F11+IF('Round 3'!$S$31&gt;0,N(INDEX($B$40:$B$71,'Round 3'!$Q$39)),0))</f>
        <v/>
      </c>
      <c r="H11" s="20">
        <f>IF($B11="","",G11+IF('Round 4'!$S$31&gt;0,N(INDEX($B$40:$B$71,'Round 4'!$Q$39)),0))</f>
        <v/>
      </c>
      <c r="I11" s="20">
        <f>IF($B11="","",H11+IF('Round 5'!$S$31&gt;0,N(INDEX($B$40:$B$71,'Round 5'!$Q$39)),0))</f>
        <v/>
      </c>
      <c r="J11" s="20">
        <f>IF($B11="","",I11+IF('Round 6'!$S$31&gt;0,N(INDEX($B$40:$B$71,'Round 6'!$Q$39)),0))</f>
        <v/>
      </c>
      <c r="K11" s="20">
        <f>IF($B11="","",J11+IF('Round 7'!$S$31&gt;0,N(INDEX($B$40:$B$71,'Round 7'!$Q$39)),0))</f>
        <v/>
      </c>
      <c r="L11" s="20">
        <f>IF($B11="","",K11+IF('Round 8'!$S$31&gt;0,N(INDEX($B$40:$B$71,'Round 8'!$Q$39)),0))</f>
        <v/>
      </c>
      <c r="M11" s="20">
        <f>IF($B11="","",L11+IF('Round 9'!$S$31&gt;0,N(INDEX($B$40:$B$71,'Round 9'!$Q$39)),0))</f>
        <v/>
      </c>
      <c r="N11" s="20">
        <f>IF($B11="","",M11+IF('Round 10'!$S$31&gt;0,N(INDEX($B$40:$B$71,'Round 10'!$Q$39)),0))</f>
        <v/>
      </c>
      <c r="O11" s="21">
        <f>IF($B11="","",N11-$C11)</f>
        <v/>
      </c>
    </row>
    <row r="12">
      <c r="A12" s="10" t="n">
        <v>9</v>
      </c>
      <c r="B12" s="17">
        <f>IF(Setup!B13="","",Setup!B13)</f>
        <v/>
      </c>
      <c r="C12" s="20">
        <f>IF($B12="","",N(Setup!E13))</f>
        <v/>
      </c>
      <c r="D12" s="20">
        <f>IF($B12="","",$C12)</f>
        <v/>
      </c>
      <c r="E12" s="20">
        <f>IF($B12="","",D12+IF('Round 1'!$S$31&gt;0,N(INDEX($B$40:$B$71,'Round 1'!$Q$40)),0))</f>
        <v/>
      </c>
      <c r="F12" s="20">
        <f>IF($B12="","",E12+IF('Round 2'!$S$31&gt;0,N(INDEX($B$40:$B$71,'Round 2'!$Q$40)),0))</f>
        <v/>
      </c>
      <c r="G12" s="20">
        <f>IF($B12="","",F12+IF('Round 3'!$S$31&gt;0,N(INDEX($B$40:$B$71,'Round 3'!$Q$40)),0))</f>
        <v/>
      </c>
      <c r="H12" s="20">
        <f>IF($B12="","",G12+IF('Round 4'!$S$31&gt;0,N(INDEX($B$40:$B$71,'Round 4'!$Q$40)),0))</f>
        <v/>
      </c>
      <c r="I12" s="20">
        <f>IF($B12="","",H12+IF('Round 5'!$S$31&gt;0,N(INDEX($B$40:$B$71,'Round 5'!$Q$40)),0))</f>
        <v/>
      </c>
      <c r="J12" s="20">
        <f>IF($B12="","",I12+IF('Round 6'!$S$31&gt;0,N(INDEX($B$40:$B$71,'Round 6'!$Q$40)),0))</f>
        <v/>
      </c>
      <c r="K12" s="20">
        <f>IF($B12="","",J12+IF('Round 7'!$S$31&gt;0,N(INDEX($B$40:$B$71,'Round 7'!$Q$40)),0))</f>
        <v/>
      </c>
      <c r="L12" s="20">
        <f>IF($B12="","",K12+IF('Round 8'!$S$31&gt;0,N(INDEX($B$40:$B$71,'Round 8'!$Q$40)),0))</f>
        <v/>
      </c>
      <c r="M12" s="20">
        <f>IF($B12="","",L12+IF('Round 9'!$S$31&gt;0,N(INDEX($B$40:$B$71,'Round 9'!$Q$40)),0))</f>
        <v/>
      </c>
      <c r="N12" s="20">
        <f>IF($B12="","",M12+IF('Round 10'!$S$31&gt;0,N(INDEX($B$40:$B$71,'Round 10'!$Q$40)),0))</f>
        <v/>
      </c>
      <c r="O12" s="21">
        <f>IF($B12="","",N12-$C12)</f>
        <v/>
      </c>
    </row>
    <row r="13">
      <c r="A13" s="10" t="n">
        <v>10</v>
      </c>
      <c r="B13" s="17">
        <f>IF(Setup!B14="","",Setup!B14)</f>
        <v/>
      </c>
      <c r="C13" s="20">
        <f>IF($B13="","",N(Setup!E14))</f>
        <v/>
      </c>
      <c r="D13" s="20">
        <f>IF($B13="","",$C13)</f>
        <v/>
      </c>
      <c r="E13" s="20">
        <f>IF($B13="","",D13+IF('Round 1'!$S$31&gt;0,N(INDEX($B$40:$B$71,'Round 1'!$Q$41)),0))</f>
        <v/>
      </c>
      <c r="F13" s="20">
        <f>IF($B13="","",E13+IF('Round 2'!$S$31&gt;0,N(INDEX($B$40:$B$71,'Round 2'!$Q$41)),0))</f>
        <v/>
      </c>
      <c r="G13" s="20">
        <f>IF($B13="","",F13+IF('Round 3'!$S$31&gt;0,N(INDEX($B$40:$B$71,'Round 3'!$Q$41)),0))</f>
        <v/>
      </c>
      <c r="H13" s="20">
        <f>IF($B13="","",G13+IF('Round 4'!$S$31&gt;0,N(INDEX($B$40:$B$71,'Round 4'!$Q$41)),0))</f>
        <v/>
      </c>
      <c r="I13" s="20">
        <f>IF($B13="","",H13+IF('Round 5'!$S$31&gt;0,N(INDEX($B$40:$B$71,'Round 5'!$Q$41)),0))</f>
        <v/>
      </c>
      <c r="J13" s="20">
        <f>IF($B13="","",I13+IF('Round 6'!$S$31&gt;0,N(INDEX($B$40:$B$71,'Round 6'!$Q$41)),0))</f>
        <v/>
      </c>
      <c r="K13" s="20">
        <f>IF($B13="","",J13+IF('Round 7'!$S$31&gt;0,N(INDEX($B$40:$B$71,'Round 7'!$Q$41)),0))</f>
        <v/>
      </c>
      <c r="L13" s="20">
        <f>IF($B13="","",K13+IF('Round 8'!$S$31&gt;0,N(INDEX($B$40:$B$71,'Round 8'!$Q$41)),0))</f>
        <v/>
      </c>
      <c r="M13" s="20">
        <f>IF($B13="","",L13+IF('Round 9'!$S$31&gt;0,N(INDEX($B$40:$B$71,'Round 9'!$Q$41)),0))</f>
        <v/>
      </c>
      <c r="N13" s="20">
        <f>IF($B13="","",M13+IF('Round 10'!$S$31&gt;0,N(INDEX($B$40:$B$71,'Round 10'!$Q$41)),0))</f>
        <v/>
      </c>
      <c r="O13" s="21">
        <f>IF($B13="","",N13-$C13)</f>
        <v/>
      </c>
    </row>
    <row r="14">
      <c r="A14" s="10" t="n">
        <v>11</v>
      </c>
      <c r="B14" s="17">
        <f>IF(Setup!B15="","",Setup!B15)</f>
        <v/>
      </c>
      <c r="C14" s="20">
        <f>IF($B14="","",N(Setup!E15))</f>
        <v/>
      </c>
      <c r="D14" s="20">
        <f>IF($B14="","",$C14)</f>
        <v/>
      </c>
      <c r="E14" s="20">
        <f>IF($B14="","",D14+IF('Round 1'!$S$31&gt;0,N(INDEX($B$40:$B$71,'Round 1'!$Q$42)),0))</f>
        <v/>
      </c>
      <c r="F14" s="20">
        <f>IF($B14="","",E14+IF('Round 2'!$S$31&gt;0,N(INDEX($B$40:$B$71,'Round 2'!$Q$42)),0))</f>
        <v/>
      </c>
      <c r="G14" s="20">
        <f>IF($B14="","",F14+IF('Round 3'!$S$31&gt;0,N(INDEX($B$40:$B$71,'Round 3'!$Q$42)),0))</f>
        <v/>
      </c>
      <c r="H14" s="20">
        <f>IF($B14="","",G14+IF('Round 4'!$S$31&gt;0,N(INDEX($B$40:$B$71,'Round 4'!$Q$42)),0))</f>
        <v/>
      </c>
      <c r="I14" s="20">
        <f>IF($B14="","",H14+IF('Round 5'!$S$31&gt;0,N(INDEX($B$40:$B$71,'Round 5'!$Q$42)),0))</f>
        <v/>
      </c>
      <c r="J14" s="20">
        <f>IF($B14="","",I14+IF('Round 6'!$S$31&gt;0,N(INDEX($B$40:$B$71,'Round 6'!$Q$42)),0))</f>
        <v/>
      </c>
      <c r="K14" s="20">
        <f>IF($B14="","",J14+IF('Round 7'!$S$31&gt;0,N(INDEX($B$40:$B$71,'Round 7'!$Q$42)),0))</f>
        <v/>
      </c>
      <c r="L14" s="20">
        <f>IF($B14="","",K14+IF('Round 8'!$S$31&gt;0,N(INDEX($B$40:$B$71,'Round 8'!$Q$42)),0))</f>
        <v/>
      </c>
      <c r="M14" s="20">
        <f>IF($B14="","",L14+IF('Round 9'!$S$31&gt;0,N(INDEX($B$40:$B$71,'Round 9'!$Q$42)),0))</f>
        <v/>
      </c>
      <c r="N14" s="20">
        <f>IF($B14="","",M14+IF('Round 10'!$S$31&gt;0,N(INDEX($B$40:$B$71,'Round 10'!$Q$42)),0))</f>
        <v/>
      </c>
      <c r="O14" s="21">
        <f>IF($B14="","",N14-$C14)</f>
        <v/>
      </c>
    </row>
    <row r="15">
      <c r="A15" s="10" t="n">
        <v>12</v>
      </c>
      <c r="B15" s="17">
        <f>IF(Setup!B16="","",Setup!B16)</f>
        <v/>
      </c>
      <c r="C15" s="20">
        <f>IF($B15="","",N(Setup!E16))</f>
        <v/>
      </c>
      <c r="D15" s="20">
        <f>IF($B15="","",$C15)</f>
        <v/>
      </c>
      <c r="E15" s="20">
        <f>IF($B15="","",D15+IF('Round 1'!$S$31&gt;0,N(INDEX($B$40:$B$71,'Round 1'!$Q$43)),0))</f>
        <v/>
      </c>
      <c r="F15" s="20">
        <f>IF($B15="","",E15+IF('Round 2'!$S$31&gt;0,N(INDEX($B$40:$B$71,'Round 2'!$Q$43)),0))</f>
        <v/>
      </c>
      <c r="G15" s="20">
        <f>IF($B15="","",F15+IF('Round 3'!$S$31&gt;0,N(INDEX($B$40:$B$71,'Round 3'!$Q$43)),0))</f>
        <v/>
      </c>
      <c r="H15" s="20">
        <f>IF($B15="","",G15+IF('Round 4'!$S$31&gt;0,N(INDEX($B$40:$B$71,'Round 4'!$Q$43)),0))</f>
        <v/>
      </c>
      <c r="I15" s="20">
        <f>IF($B15="","",H15+IF('Round 5'!$S$31&gt;0,N(INDEX($B$40:$B$71,'Round 5'!$Q$43)),0))</f>
        <v/>
      </c>
      <c r="J15" s="20">
        <f>IF($B15="","",I15+IF('Round 6'!$S$31&gt;0,N(INDEX($B$40:$B$71,'Round 6'!$Q$43)),0))</f>
        <v/>
      </c>
      <c r="K15" s="20">
        <f>IF($B15="","",J15+IF('Round 7'!$S$31&gt;0,N(INDEX($B$40:$B$71,'Round 7'!$Q$43)),0))</f>
        <v/>
      </c>
      <c r="L15" s="20">
        <f>IF($B15="","",K15+IF('Round 8'!$S$31&gt;0,N(INDEX($B$40:$B$71,'Round 8'!$Q$43)),0))</f>
        <v/>
      </c>
      <c r="M15" s="20">
        <f>IF($B15="","",L15+IF('Round 9'!$S$31&gt;0,N(INDEX($B$40:$B$71,'Round 9'!$Q$43)),0))</f>
        <v/>
      </c>
      <c r="N15" s="20">
        <f>IF($B15="","",M15+IF('Round 10'!$S$31&gt;0,N(INDEX($B$40:$B$71,'Round 10'!$Q$43)),0))</f>
        <v/>
      </c>
      <c r="O15" s="21">
        <f>IF($B15="","",N15-$C15)</f>
        <v/>
      </c>
    </row>
    <row r="16">
      <c r="A16" s="10" t="n">
        <v>13</v>
      </c>
      <c r="B16" s="17">
        <f>IF(Setup!B17="","",Setup!B17)</f>
        <v/>
      </c>
      <c r="C16" s="20">
        <f>IF($B16="","",N(Setup!E17))</f>
        <v/>
      </c>
      <c r="D16" s="20">
        <f>IF($B16="","",$C16)</f>
        <v/>
      </c>
      <c r="E16" s="20">
        <f>IF($B16="","",D16+IF('Round 1'!$S$31&gt;0,N(INDEX($B$40:$B$71,'Round 1'!$Q$44)),0))</f>
        <v/>
      </c>
      <c r="F16" s="20">
        <f>IF($B16="","",E16+IF('Round 2'!$S$31&gt;0,N(INDEX($B$40:$B$71,'Round 2'!$Q$44)),0))</f>
        <v/>
      </c>
      <c r="G16" s="20">
        <f>IF($B16="","",F16+IF('Round 3'!$S$31&gt;0,N(INDEX($B$40:$B$71,'Round 3'!$Q$44)),0))</f>
        <v/>
      </c>
      <c r="H16" s="20">
        <f>IF($B16="","",G16+IF('Round 4'!$S$31&gt;0,N(INDEX($B$40:$B$71,'Round 4'!$Q$44)),0))</f>
        <v/>
      </c>
      <c r="I16" s="20">
        <f>IF($B16="","",H16+IF('Round 5'!$S$31&gt;0,N(INDEX($B$40:$B$71,'Round 5'!$Q$44)),0))</f>
        <v/>
      </c>
      <c r="J16" s="20">
        <f>IF($B16="","",I16+IF('Round 6'!$S$31&gt;0,N(INDEX($B$40:$B$71,'Round 6'!$Q$44)),0))</f>
        <v/>
      </c>
      <c r="K16" s="20">
        <f>IF($B16="","",J16+IF('Round 7'!$S$31&gt;0,N(INDEX($B$40:$B$71,'Round 7'!$Q$44)),0))</f>
        <v/>
      </c>
      <c r="L16" s="20">
        <f>IF($B16="","",K16+IF('Round 8'!$S$31&gt;0,N(INDEX($B$40:$B$71,'Round 8'!$Q$44)),0))</f>
        <v/>
      </c>
      <c r="M16" s="20">
        <f>IF($B16="","",L16+IF('Round 9'!$S$31&gt;0,N(INDEX($B$40:$B$71,'Round 9'!$Q$44)),0))</f>
        <v/>
      </c>
      <c r="N16" s="20">
        <f>IF($B16="","",M16+IF('Round 10'!$S$31&gt;0,N(INDEX($B$40:$B$71,'Round 10'!$Q$44)),0))</f>
        <v/>
      </c>
      <c r="O16" s="21">
        <f>IF($B16="","",N16-$C16)</f>
        <v/>
      </c>
    </row>
    <row r="17">
      <c r="A17" s="10" t="n">
        <v>14</v>
      </c>
      <c r="B17" s="17">
        <f>IF(Setup!B18="","",Setup!B18)</f>
        <v/>
      </c>
      <c r="C17" s="20">
        <f>IF($B17="","",N(Setup!E18))</f>
        <v/>
      </c>
      <c r="D17" s="20">
        <f>IF($B17="","",$C17)</f>
        <v/>
      </c>
      <c r="E17" s="20">
        <f>IF($B17="","",D17+IF('Round 1'!$S$31&gt;0,N(INDEX($B$40:$B$71,'Round 1'!$Q$45)),0))</f>
        <v/>
      </c>
      <c r="F17" s="20">
        <f>IF($B17="","",E17+IF('Round 2'!$S$31&gt;0,N(INDEX($B$40:$B$71,'Round 2'!$Q$45)),0))</f>
        <v/>
      </c>
      <c r="G17" s="20">
        <f>IF($B17="","",F17+IF('Round 3'!$S$31&gt;0,N(INDEX($B$40:$B$71,'Round 3'!$Q$45)),0))</f>
        <v/>
      </c>
      <c r="H17" s="20">
        <f>IF($B17="","",G17+IF('Round 4'!$S$31&gt;0,N(INDEX($B$40:$B$71,'Round 4'!$Q$45)),0))</f>
        <v/>
      </c>
      <c r="I17" s="20">
        <f>IF($B17="","",H17+IF('Round 5'!$S$31&gt;0,N(INDEX($B$40:$B$71,'Round 5'!$Q$45)),0))</f>
        <v/>
      </c>
      <c r="J17" s="20">
        <f>IF($B17="","",I17+IF('Round 6'!$S$31&gt;0,N(INDEX($B$40:$B$71,'Round 6'!$Q$45)),0))</f>
        <v/>
      </c>
      <c r="K17" s="20">
        <f>IF($B17="","",J17+IF('Round 7'!$S$31&gt;0,N(INDEX($B$40:$B$71,'Round 7'!$Q$45)),0))</f>
        <v/>
      </c>
      <c r="L17" s="20">
        <f>IF($B17="","",K17+IF('Round 8'!$S$31&gt;0,N(INDEX($B$40:$B$71,'Round 8'!$Q$45)),0))</f>
        <v/>
      </c>
      <c r="M17" s="20">
        <f>IF($B17="","",L17+IF('Round 9'!$S$31&gt;0,N(INDEX($B$40:$B$71,'Round 9'!$Q$45)),0))</f>
        <v/>
      </c>
      <c r="N17" s="20">
        <f>IF($B17="","",M17+IF('Round 10'!$S$31&gt;0,N(INDEX($B$40:$B$71,'Round 10'!$Q$45)),0))</f>
        <v/>
      </c>
      <c r="O17" s="21">
        <f>IF($B17="","",N17-$C17)</f>
        <v/>
      </c>
    </row>
    <row r="18">
      <c r="A18" s="10" t="n">
        <v>15</v>
      </c>
      <c r="B18" s="17">
        <f>IF(Setup!B19="","",Setup!B19)</f>
        <v/>
      </c>
      <c r="C18" s="20">
        <f>IF($B18="","",N(Setup!E19))</f>
        <v/>
      </c>
      <c r="D18" s="20">
        <f>IF($B18="","",$C18)</f>
        <v/>
      </c>
      <c r="E18" s="20">
        <f>IF($B18="","",D18+IF('Round 1'!$S$31&gt;0,N(INDEX($B$40:$B$71,'Round 1'!$Q$46)),0))</f>
        <v/>
      </c>
      <c r="F18" s="20">
        <f>IF($B18="","",E18+IF('Round 2'!$S$31&gt;0,N(INDEX($B$40:$B$71,'Round 2'!$Q$46)),0))</f>
        <v/>
      </c>
      <c r="G18" s="20">
        <f>IF($B18="","",F18+IF('Round 3'!$S$31&gt;0,N(INDEX($B$40:$B$71,'Round 3'!$Q$46)),0))</f>
        <v/>
      </c>
      <c r="H18" s="20">
        <f>IF($B18="","",G18+IF('Round 4'!$S$31&gt;0,N(INDEX($B$40:$B$71,'Round 4'!$Q$46)),0))</f>
        <v/>
      </c>
      <c r="I18" s="20">
        <f>IF($B18="","",H18+IF('Round 5'!$S$31&gt;0,N(INDEX($B$40:$B$71,'Round 5'!$Q$46)),0))</f>
        <v/>
      </c>
      <c r="J18" s="20">
        <f>IF($B18="","",I18+IF('Round 6'!$S$31&gt;0,N(INDEX($B$40:$B$71,'Round 6'!$Q$46)),0))</f>
        <v/>
      </c>
      <c r="K18" s="20">
        <f>IF($B18="","",J18+IF('Round 7'!$S$31&gt;0,N(INDEX($B$40:$B$71,'Round 7'!$Q$46)),0))</f>
        <v/>
      </c>
      <c r="L18" s="20">
        <f>IF($B18="","",K18+IF('Round 8'!$S$31&gt;0,N(INDEX($B$40:$B$71,'Round 8'!$Q$46)),0))</f>
        <v/>
      </c>
      <c r="M18" s="20">
        <f>IF($B18="","",L18+IF('Round 9'!$S$31&gt;0,N(INDEX($B$40:$B$71,'Round 9'!$Q$46)),0))</f>
        <v/>
      </c>
      <c r="N18" s="20">
        <f>IF($B18="","",M18+IF('Round 10'!$S$31&gt;0,N(INDEX($B$40:$B$71,'Round 10'!$Q$46)),0))</f>
        <v/>
      </c>
      <c r="O18" s="21">
        <f>IF($B18="","",N18-$C18)</f>
        <v/>
      </c>
    </row>
    <row r="19">
      <c r="A19" s="10" t="n">
        <v>16</v>
      </c>
      <c r="B19" s="17">
        <f>IF(Setup!B20="","",Setup!B20)</f>
        <v/>
      </c>
      <c r="C19" s="20">
        <f>IF($B19="","",N(Setup!E20))</f>
        <v/>
      </c>
      <c r="D19" s="20">
        <f>IF($B19="","",$C19)</f>
        <v/>
      </c>
      <c r="E19" s="20">
        <f>IF($B19="","",D19+IF('Round 1'!$S$31&gt;0,N(INDEX($B$40:$B$71,'Round 1'!$Q$47)),0))</f>
        <v/>
      </c>
      <c r="F19" s="20">
        <f>IF($B19="","",E19+IF('Round 2'!$S$31&gt;0,N(INDEX($B$40:$B$71,'Round 2'!$Q$47)),0))</f>
        <v/>
      </c>
      <c r="G19" s="20">
        <f>IF($B19="","",F19+IF('Round 3'!$S$31&gt;0,N(INDEX($B$40:$B$71,'Round 3'!$Q$47)),0))</f>
        <v/>
      </c>
      <c r="H19" s="20">
        <f>IF($B19="","",G19+IF('Round 4'!$S$31&gt;0,N(INDEX($B$40:$B$71,'Round 4'!$Q$47)),0))</f>
        <v/>
      </c>
      <c r="I19" s="20">
        <f>IF($B19="","",H19+IF('Round 5'!$S$31&gt;0,N(INDEX($B$40:$B$71,'Round 5'!$Q$47)),0))</f>
        <v/>
      </c>
      <c r="J19" s="20">
        <f>IF($B19="","",I19+IF('Round 6'!$S$31&gt;0,N(INDEX($B$40:$B$71,'Round 6'!$Q$47)),0))</f>
        <v/>
      </c>
      <c r="K19" s="20">
        <f>IF($B19="","",J19+IF('Round 7'!$S$31&gt;0,N(INDEX($B$40:$B$71,'Round 7'!$Q$47)),0))</f>
        <v/>
      </c>
      <c r="L19" s="20">
        <f>IF($B19="","",K19+IF('Round 8'!$S$31&gt;0,N(INDEX($B$40:$B$71,'Round 8'!$Q$47)),0))</f>
        <v/>
      </c>
      <c r="M19" s="20">
        <f>IF($B19="","",L19+IF('Round 9'!$S$31&gt;0,N(INDEX($B$40:$B$71,'Round 9'!$Q$47)),0))</f>
        <v/>
      </c>
      <c r="N19" s="20">
        <f>IF($B19="","",M19+IF('Round 10'!$S$31&gt;0,N(INDEX($B$40:$B$71,'Round 10'!$Q$47)),0))</f>
        <v/>
      </c>
      <c r="O19" s="21">
        <f>IF($B19="","",N19-$C19)</f>
        <v/>
      </c>
    </row>
    <row r="20">
      <c r="A20" s="10" t="n">
        <v>17</v>
      </c>
      <c r="B20" s="17">
        <f>IF(Setup!B21="","",Setup!B21)</f>
        <v/>
      </c>
      <c r="C20" s="20">
        <f>IF($B20="","",N(Setup!E21))</f>
        <v/>
      </c>
      <c r="D20" s="20">
        <f>IF($B20="","",$C20)</f>
        <v/>
      </c>
      <c r="E20" s="20">
        <f>IF($B20="","",D20+IF('Round 1'!$S$31&gt;0,N(INDEX($B$40:$B$71,'Round 1'!$Q$48)),0))</f>
        <v/>
      </c>
      <c r="F20" s="20">
        <f>IF($B20="","",E20+IF('Round 2'!$S$31&gt;0,N(INDEX($B$40:$B$71,'Round 2'!$Q$48)),0))</f>
        <v/>
      </c>
      <c r="G20" s="20">
        <f>IF($B20="","",F20+IF('Round 3'!$S$31&gt;0,N(INDEX($B$40:$B$71,'Round 3'!$Q$48)),0))</f>
        <v/>
      </c>
      <c r="H20" s="20">
        <f>IF($B20="","",G20+IF('Round 4'!$S$31&gt;0,N(INDEX($B$40:$B$71,'Round 4'!$Q$48)),0))</f>
        <v/>
      </c>
      <c r="I20" s="20">
        <f>IF($B20="","",H20+IF('Round 5'!$S$31&gt;0,N(INDEX($B$40:$B$71,'Round 5'!$Q$48)),0))</f>
        <v/>
      </c>
      <c r="J20" s="20">
        <f>IF($B20="","",I20+IF('Round 6'!$S$31&gt;0,N(INDEX($B$40:$B$71,'Round 6'!$Q$48)),0))</f>
        <v/>
      </c>
      <c r="K20" s="20">
        <f>IF($B20="","",J20+IF('Round 7'!$S$31&gt;0,N(INDEX($B$40:$B$71,'Round 7'!$Q$48)),0))</f>
        <v/>
      </c>
      <c r="L20" s="20">
        <f>IF($B20="","",K20+IF('Round 8'!$S$31&gt;0,N(INDEX($B$40:$B$71,'Round 8'!$Q$48)),0))</f>
        <v/>
      </c>
      <c r="M20" s="20">
        <f>IF($B20="","",L20+IF('Round 9'!$S$31&gt;0,N(INDEX($B$40:$B$71,'Round 9'!$Q$48)),0))</f>
        <v/>
      </c>
      <c r="N20" s="20">
        <f>IF($B20="","",M20+IF('Round 10'!$S$31&gt;0,N(INDEX($B$40:$B$71,'Round 10'!$Q$48)),0))</f>
        <v/>
      </c>
      <c r="O20" s="21">
        <f>IF($B20="","",N20-$C20)</f>
        <v/>
      </c>
    </row>
    <row r="21">
      <c r="A21" s="10" t="n">
        <v>18</v>
      </c>
      <c r="B21" s="17">
        <f>IF(Setup!B22="","",Setup!B22)</f>
        <v/>
      </c>
      <c r="C21" s="20">
        <f>IF($B21="","",N(Setup!E22))</f>
        <v/>
      </c>
      <c r="D21" s="20">
        <f>IF($B21="","",$C21)</f>
        <v/>
      </c>
      <c r="E21" s="20">
        <f>IF($B21="","",D21+IF('Round 1'!$S$31&gt;0,N(INDEX($B$40:$B$71,'Round 1'!$Q$49)),0))</f>
        <v/>
      </c>
      <c r="F21" s="20">
        <f>IF($B21="","",E21+IF('Round 2'!$S$31&gt;0,N(INDEX($B$40:$B$71,'Round 2'!$Q$49)),0))</f>
        <v/>
      </c>
      <c r="G21" s="20">
        <f>IF($B21="","",F21+IF('Round 3'!$S$31&gt;0,N(INDEX($B$40:$B$71,'Round 3'!$Q$49)),0))</f>
        <v/>
      </c>
      <c r="H21" s="20">
        <f>IF($B21="","",G21+IF('Round 4'!$S$31&gt;0,N(INDEX($B$40:$B$71,'Round 4'!$Q$49)),0))</f>
        <v/>
      </c>
      <c r="I21" s="20">
        <f>IF($B21="","",H21+IF('Round 5'!$S$31&gt;0,N(INDEX($B$40:$B$71,'Round 5'!$Q$49)),0))</f>
        <v/>
      </c>
      <c r="J21" s="20">
        <f>IF($B21="","",I21+IF('Round 6'!$S$31&gt;0,N(INDEX($B$40:$B$71,'Round 6'!$Q$49)),0))</f>
        <v/>
      </c>
      <c r="K21" s="20">
        <f>IF($B21="","",J21+IF('Round 7'!$S$31&gt;0,N(INDEX($B$40:$B$71,'Round 7'!$Q$49)),0))</f>
        <v/>
      </c>
      <c r="L21" s="20">
        <f>IF($B21="","",K21+IF('Round 8'!$S$31&gt;0,N(INDEX($B$40:$B$71,'Round 8'!$Q$49)),0))</f>
        <v/>
      </c>
      <c r="M21" s="20">
        <f>IF($B21="","",L21+IF('Round 9'!$S$31&gt;0,N(INDEX($B$40:$B$71,'Round 9'!$Q$49)),0))</f>
        <v/>
      </c>
      <c r="N21" s="20">
        <f>IF($B21="","",M21+IF('Round 10'!$S$31&gt;0,N(INDEX($B$40:$B$71,'Round 10'!$Q$49)),0))</f>
        <v/>
      </c>
      <c r="O21" s="21">
        <f>IF($B21="","",N21-$C21)</f>
        <v/>
      </c>
    </row>
    <row r="22">
      <c r="A22" s="10" t="n">
        <v>19</v>
      </c>
      <c r="B22" s="17">
        <f>IF(Setup!B23="","",Setup!B23)</f>
        <v/>
      </c>
      <c r="C22" s="20">
        <f>IF($B22="","",N(Setup!E23))</f>
        <v/>
      </c>
      <c r="D22" s="20">
        <f>IF($B22="","",$C22)</f>
        <v/>
      </c>
      <c r="E22" s="20">
        <f>IF($B22="","",D22+IF('Round 1'!$S$31&gt;0,N(INDEX($B$40:$B$71,'Round 1'!$Q$50)),0))</f>
        <v/>
      </c>
      <c r="F22" s="20">
        <f>IF($B22="","",E22+IF('Round 2'!$S$31&gt;0,N(INDEX($B$40:$B$71,'Round 2'!$Q$50)),0))</f>
        <v/>
      </c>
      <c r="G22" s="20">
        <f>IF($B22="","",F22+IF('Round 3'!$S$31&gt;0,N(INDEX($B$40:$B$71,'Round 3'!$Q$50)),0))</f>
        <v/>
      </c>
      <c r="H22" s="20">
        <f>IF($B22="","",G22+IF('Round 4'!$S$31&gt;0,N(INDEX($B$40:$B$71,'Round 4'!$Q$50)),0))</f>
        <v/>
      </c>
      <c r="I22" s="20">
        <f>IF($B22="","",H22+IF('Round 5'!$S$31&gt;0,N(INDEX($B$40:$B$71,'Round 5'!$Q$50)),0))</f>
        <v/>
      </c>
      <c r="J22" s="20">
        <f>IF($B22="","",I22+IF('Round 6'!$S$31&gt;0,N(INDEX($B$40:$B$71,'Round 6'!$Q$50)),0))</f>
        <v/>
      </c>
      <c r="K22" s="20">
        <f>IF($B22="","",J22+IF('Round 7'!$S$31&gt;0,N(INDEX($B$40:$B$71,'Round 7'!$Q$50)),0))</f>
        <v/>
      </c>
      <c r="L22" s="20">
        <f>IF($B22="","",K22+IF('Round 8'!$S$31&gt;0,N(INDEX($B$40:$B$71,'Round 8'!$Q$50)),0))</f>
        <v/>
      </c>
      <c r="M22" s="20">
        <f>IF($B22="","",L22+IF('Round 9'!$S$31&gt;0,N(INDEX($B$40:$B$71,'Round 9'!$Q$50)),0))</f>
        <v/>
      </c>
      <c r="N22" s="20">
        <f>IF($B22="","",M22+IF('Round 10'!$S$31&gt;0,N(INDEX($B$40:$B$71,'Round 10'!$Q$50)),0))</f>
        <v/>
      </c>
      <c r="O22" s="21">
        <f>IF($B22="","",N22-$C22)</f>
        <v/>
      </c>
    </row>
    <row r="23">
      <c r="A23" s="10" t="n">
        <v>20</v>
      </c>
      <c r="B23" s="17">
        <f>IF(Setup!B24="","",Setup!B24)</f>
        <v/>
      </c>
      <c r="C23" s="20">
        <f>IF($B23="","",N(Setup!E24))</f>
        <v/>
      </c>
      <c r="D23" s="20">
        <f>IF($B23="","",$C23)</f>
        <v/>
      </c>
      <c r="E23" s="20">
        <f>IF($B23="","",D23+IF('Round 1'!$S$31&gt;0,N(INDEX($B$40:$B$71,'Round 1'!$Q$51)),0))</f>
        <v/>
      </c>
      <c r="F23" s="20">
        <f>IF($B23="","",E23+IF('Round 2'!$S$31&gt;0,N(INDEX($B$40:$B$71,'Round 2'!$Q$51)),0))</f>
        <v/>
      </c>
      <c r="G23" s="20">
        <f>IF($B23="","",F23+IF('Round 3'!$S$31&gt;0,N(INDEX($B$40:$B$71,'Round 3'!$Q$51)),0))</f>
        <v/>
      </c>
      <c r="H23" s="20">
        <f>IF($B23="","",G23+IF('Round 4'!$S$31&gt;0,N(INDEX($B$40:$B$71,'Round 4'!$Q$51)),0))</f>
        <v/>
      </c>
      <c r="I23" s="20">
        <f>IF($B23="","",H23+IF('Round 5'!$S$31&gt;0,N(INDEX($B$40:$B$71,'Round 5'!$Q$51)),0))</f>
        <v/>
      </c>
      <c r="J23" s="20">
        <f>IF($B23="","",I23+IF('Round 6'!$S$31&gt;0,N(INDEX($B$40:$B$71,'Round 6'!$Q$51)),0))</f>
        <v/>
      </c>
      <c r="K23" s="20">
        <f>IF($B23="","",J23+IF('Round 7'!$S$31&gt;0,N(INDEX($B$40:$B$71,'Round 7'!$Q$51)),0))</f>
        <v/>
      </c>
      <c r="L23" s="20">
        <f>IF($B23="","",K23+IF('Round 8'!$S$31&gt;0,N(INDEX($B$40:$B$71,'Round 8'!$Q$51)),0))</f>
        <v/>
      </c>
      <c r="M23" s="20">
        <f>IF($B23="","",L23+IF('Round 9'!$S$31&gt;0,N(INDEX($B$40:$B$71,'Round 9'!$Q$51)),0))</f>
        <v/>
      </c>
      <c r="N23" s="20">
        <f>IF($B23="","",M23+IF('Round 10'!$S$31&gt;0,N(INDEX($B$40:$B$71,'Round 10'!$Q$51)),0))</f>
        <v/>
      </c>
      <c r="O23" s="21">
        <f>IF($B23="","",N23-$C23)</f>
        <v/>
      </c>
    </row>
    <row r="24">
      <c r="A24" s="10" t="n">
        <v>21</v>
      </c>
      <c r="B24" s="17">
        <f>IF(Setup!B25="","",Setup!B25)</f>
        <v/>
      </c>
      <c r="C24" s="20">
        <f>IF($B24="","",N(Setup!E25))</f>
        <v/>
      </c>
      <c r="D24" s="20">
        <f>IF($B24="","",$C24)</f>
        <v/>
      </c>
      <c r="E24" s="20">
        <f>IF($B24="","",D24+IF('Round 1'!$S$31&gt;0,N(INDEX($B$40:$B$71,'Round 1'!$Q$52)),0))</f>
        <v/>
      </c>
      <c r="F24" s="20">
        <f>IF($B24="","",E24+IF('Round 2'!$S$31&gt;0,N(INDEX($B$40:$B$71,'Round 2'!$Q$52)),0))</f>
        <v/>
      </c>
      <c r="G24" s="20">
        <f>IF($B24="","",F24+IF('Round 3'!$S$31&gt;0,N(INDEX($B$40:$B$71,'Round 3'!$Q$52)),0))</f>
        <v/>
      </c>
      <c r="H24" s="20">
        <f>IF($B24="","",G24+IF('Round 4'!$S$31&gt;0,N(INDEX($B$40:$B$71,'Round 4'!$Q$52)),0))</f>
        <v/>
      </c>
      <c r="I24" s="20">
        <f>IF($B24="","",H24+IF('Round 5'!$S$31&gt;0,N(INDEX($B$40:$B$71,'Round 5'!$Q$52)),0))</f>
        <v/>
      </c>
      <c r="J24" s="20">
        <f>IF($B24="","",I24+IF('Round 6'!$S$31&gt;0,N(INDEX($B$40:$B$71,'Round 6'!$Q$52)),0))</f>
        <v/>
      </c>
      <c r="K24" s="20">
        <f>IF($B24="","",J24+IF('Round 7'!$S$31&gt;0,N(INDEX($B$40:$B$71,'Round 7'!$Q$52)),0))</f>
        <v/>
      </c>
      <c r="L24" s="20">
        <f>IF($B24="","",K24+IF('Round 8'!$S$31&gt;0,N(INDEX($B$40:$B$71,'Round 8'!$Q$52)),0))</f>
        <v/>
      </c>
      <c r="M24" s="20">
        <f>IF($B24="","",L24+IF('Round 9'!$S$31&gt;0,N(INDEX($B$40:$B$71,'Round 9'!$Q$52)),0))</f>
        <v/>
      </c>
      <c r="N24" s="20">
        <f>IF($B24="","",M24+IF('Round 10'!$S$31&gt;0,N(INDEX($B$40:$B$71,'Round 10'!$Q$52)),0))</f>
        <v/>
      </c>
      <c r="O24" s="21">
        <f>IF($B24="","",N24-$C24)</f>
        <v/>
      </c>
    </row>
    <row r="25">
      <c r="A25" s="10" t="n">
        <v>22</v>
      </c>
      <c r="B25" s="17">
        <f>IF(Setup!B26="","",Setup!B26)</f>
        <v/>
      </c>
      <c r="C25" s="20">
        <f>IF($B25="","",N(Setup!E26))</f>
        <v/>
      </c>
      <c r="D25" s="20">
        <f>IF($B25="","",$C25)</f>
        <v/>
      </c>
      <c r="E25" s="20">
        <f>IF($B25="","",D25+IF('Round 1'!$S$31&gt;0,N(INDEX($B$40:$B$71,'Round 1'!$Q$53)),0))</f>
        <v/>
      </c>
      <c r="F25" s="20">
        <f>IF($B25="","",E25+IF('Round 2'!$S$31&gt;0,N(INDEX($B$40:$B$71,'Round 2'!$Q$53)),0))</f>
        <v/>
      </c>
      <c r="G25" s="20">
        <f>IF($B25="","",F25+IF('Round 3'!$S$31&gt;0,N(INDEX($B$40:$B$71,'Round 3'!$Q$53)),0))</f>
        <v/>
      </c>
      <c r="H25" s="20">
        <f>IF($B25="","",G25+IF('Round 4'!$S$31&gt;0,N(INDEX($B$40:$B$71,'Round 4'!$Q$53)),0))</f>
        <v/>
      </c>
      <c r="I25" s="20">
        <f>IF($B25="","",H25+IF('Round 5'!$S$31&gt;0,N(INDEX($B$40:$B$71,'Round 5'!$Q$53)),0))</f>
        <v/>
      </c>
      <c r="J25" s="20">
        <f>IF($B25="","",I25+IF('Round 6'!$S$31&gt;0,N(INDEX($B$40:$B$71,'Round 6'!$Q$53)),0))</f>
        <v/>
      </c>
      <c r="K25" s="20">
        <f>IF($B25="","",J25+IF('Round 7'!$S$31&gt;0,N(INDEX($B$40:$B$71,'Round 7'!$Q$53)),0))</f>
        <v/>
      </c>
      <c r="L25" s="20">
        <f>IF($B25="","",K25+IF('Round 8'!$S$31&gt;0,N(INDEX($B$40:$B$71,'Round 8'!$Q$53)),0))</f>
        <v/>
      </c>
      <c r="M25" s="20">
        <f>IF($B25="","",L25+IF('Round 9'!$S$31&gt;0,N(INDEX($B$40:$B$71,'Round 9'!$Q$53)),0))</f>
        <v/>
      </c>
      <c r="N25" s="20">
        <f>IF($B25="","",M25+IF('Round 10'!$S$31&gt;0,N(INDEX($B$40:$B$71,'Round 10'!$Q$53)),0))</f>
        <v/>
      </c>
      <c r="O25" s="21">
        <f>IF($B25="","",N25-$C25)</f>
        <v/>
      </c>
    </row>
    <row r="26">
      <c r="A26" s="10" t="n">
        <v>23</v>
      </c>
      <c r="B26" s="17">
        <f>IF(Setup!B27="","",Setup!B27)</f>
        <v/>
      </c>
      <c r="C26" s="20">
        <f>IF($B26="","",N(Setup!E27))</f>
        <v/>
      </c>
      <c r="D26" s="20">
        <f>IF($B26="","",$C26)</f>
        <v/>
      </c>
      <c r="E26" s="20">
        <f>IF($B26="","",D26+IF('Round 1'!$S$31&gt;0,N(INDEX($B$40:$B$71,'Round 1'!$Q$54)),0))</f>
        <v/>
      </c>
      <c r="F26" s="20">
        <f>IF($B26="","",E26+IF('Round 2'!$S$31&gt;0,N(INDEX($B$40:$B$71,'Round 2'!$Q$54)),0))</f>
        <v/>
      </c>
      <c r="G26" s="20">
        <f>IF($B26="","",F26+IF('Round 3'!$S$31&gt;0,N(INDEX($B$40:$B$71,'Round 3'!$Q$54)),0))</f>
        <v/>
      </c>
      <c r="H26" s="20">
        <f>IF($B26="","",G26+IF('Round 4'!$S$31&gt;0,N(INDEX($B$40:$B$71,'Round 4'!$Q$54)),0))</f>
        <v/>
      </c>
      <c r="I26" s="20">
        <f>IF($B26="","",H26+IF('Round 5'!$S$31&gt;0,N(INDEX($B$40:$B$71,'Round 5'!$Q$54)),0))</f>
        <v/>
      </c>
      <c r="J26" s="20">
        <f>IF($B26="","",I26+IF('Round 6'!$S$31&gt;0,N(INDEX($B$40:$B$71,'Round 6'!$Q$54)),0))</f>
        <v/>
      </c>
      <c r="K26" s="20">
        <f>IF($B26="","",J26+IF('Round 7'!$S$31&gt;0,N(INDEX($B$40:$B$71,'Round 7'!$Q$54)),0))</f>
        <v/>
      </c>
      <c r="L26" s="20">
        <f>IF($B26="","",K26+IF('Round 8'!$S$31&gt;0,N(INDEX($B$40:$B$71,'Round 8'!$Q$54)),0))</f>
        <v/>
      </c>
      <c r="M26" s="20">
        <f>IF($B26="","",L26+IF('Round 9'!$S$31&gt;0,N(INDEX($B$40:$B$71,'Round 9'!$Q$54)),0))</f>
        <v/>
      </c>
      <c r="N26" s="20">
        <f>IF($B26="","",M26+IF('Round 10'!$S$31&gt;0,N(INDEX($B$40:$B$71,'Round 10'!$Q$54)),0))</f>
        <v/>
      </c>
      <c r="O26" s="21">
        <f>IF($B26="","",N26-$C26)</f>
        <v/>
      </c>
    </row>
    <row r="27">
      <c r="A27" s="10" t="n">
        <v>24</v>
      </c>
      <c r="B27" s="17">
        <f>IF(Setup!B28="","",Setup!B28)</f>
        <v/>
      </c>
      <c r="C27" s="20">
        <f>IF($B27="","",N(Setup!E28))</f>
        <v/>
      </c>
      <c r="D27" s="20">
        <f>IF($B27="","",$C27)</f>
        <v/>
      </c>
      <c r="E27" s="20">
        <f>IF($B27="","",D27+IF('Round 1'!$S$31&gt;0,N(INDEX($B$40:$B$71,'Round 1'!$Q$55)),0))</f>
        <v/>
      </c>
      <c r="F27" s="20">
        <f>IF($B27="","",E27+IF('Round 2'!$S$31&gt;0,N(INDEX($B$40:$B$71,'Round 2'!$Q$55)),0))</f>
        <v/>
      </c>
      <c r="G27" s="20">
        <f>IF($B27="","",F27+IF('Round 3'!$S$31&gt;0,N(INDEX($B$40:$B$71,'Round 3'!$Q$55)),0))</f>
        <v/>
      </c>
      <c r="H27" s="20">
        <f>IF($B27="","",G27+IF('Round 4'!$S$31&gt;0,N(INDEX($B$40:$B$71,'Round 4'!$Q$55)),0))</f>
        <v/>
      </c>
      <c r="I27" s="20">
        <f>IF($B27="","",H27+IF('Round 5'!$S$31&gt;0,N(INDEX($B$40:$B$71,'Round 5'!$Q$55)),0))</f>
        <v/>
      </c>
      <c r="J27" s="20">
        <f>IF($B27="","",I27+IF('Round 6'!$S$31&gt;0,N(INDEX($B$40:$B$71,'Round 6'!$Q$55)),0))</f>
        <v/>
      </c>
      <c r="K27" s="20">
        <f>IF($B27="","",J27+IF('Round 7'!$S$31&gt;0,N(INDEX($B$40:$B$71,'Round 7'!$Q$55)),0))</f>
        <v/>
      </c>
      <c r="L27" s="20">
        <f>IF($B27="","",K27+IF('Round 8'!$S$31&gt;0,N(INDEX($B$40:$B$71,'Round 8'!$Q$55)),0))</f>
        <v/>
      </c>
      <c r="M27" s="20">
        <f>IF($B27="","",L27+IF('Round 9'!$S$31&gt;0,N(INDEX($B$40:$B$71,'Round 9'!$Q$55)),0))</f>
        <v/>
      </c>
      <c r="N27" s="20">
        <f>IF($B27="","",M27+IF('Round 10'!$S$31&gt;0,N(INDEX($B$40:$B$71,'Round 10'!$Q$55)),0))</f>
        <v/>
      </c>
      <c r="O27" s="21">
        <f>IF($B27="","",N27-$C27)</f>
        <v/>
      </c>
    </row>
    <row r="28">
      <c r="A28" s="10" t="n">
        <v>25</v>
      </c>
      <c r="B28" s="17">
        <f>IF(Setup!B29="","",Setup!B29)</f>
        <v/>
      </c>
      <c r="C28" s="20">
        <f>IF($B28="","",N(Setup!E29))</f>
        <v/>
      </c>
      <c r="D28" s="20">
        <f>IF($B28="","",$C28)</f>
        <v/>
      </c>
      <c r="E28" s="20">
        <f>IF($B28="","",D28+IF('Round 1'!$S$31&gt;0,N(INDEX($B$40:$B$71,'Round 1'!$Q$56)),0))</f>
        <v/>
      </c>
      <c r="F28" s="20">
        <f>IF($B28="","",E28+IF('Round 2'!$S$31&gt;0,N(INDEX($B$40:$B$71,'Round 2'!$Q$56)),0))</f>
        <v/>
      </c>
      <c r="G28" s="20">
        <f>IF($B28="","",F28+IF('Round 3'!$S$31&gt;0,N(INDEX($B$40:$B$71,'Round 3'!$Q$56)),0))</f>
        <v/>
      </c>
      <c r="H28" s="20">
        <f>IF($B28="","",G28+IF('Round 4'!$S$31&gt;0,N(INDEX($B$40:$B$71,'Round 4'!$Q$56)),0))</f>
        <v/>
      </c>
      <c r="I28" s="20">
        <f>IF($B28="","",H28+IF('Round 5'!$S$31&gt;0,N(INDEX($B$40:$B$71,'Round 5'!$Q$56)),0))</f>
        <v/>
      </c>
      <c r="J28" s="20">
        <f>IF($B28="","",I28+IF('Round 6'!$S$31&gt;0,N(INDEX($B$40:$B$71,'Round 6'!$Q$56)),0))</f>
        <v/>
      </c>
      <c r="K28" s="20">
        <f>IF($B28="","",J28+IF('Round 7'!$S$31&gt;0,N(INDEX($B$40:$B$71,'Round 7'!$Q$56)),0))</f>
        <v/>
      </c>
      <c r="L28" s="20">
        <f>IF($B28="","",K28+IF('Round 8'!$S$31&gt;0,N(INDEX($B$40:$B$71,'Round 8'!$Q$56)),0))</f>
        <v/>
      </c>
      <c r="M28" s="20">
        <f>IF($B28="","",L28+IF('Round 9'!$S$31&gt;0,N(INDEX($B$40:$B$71,'Round 9'!$Q$56)),0))</f>
        <v/>
      </c>
      <c r="N28" s="20">
        <f>IF($B28="","",M28+IF('Round 10'!$S$31&gt;0,N(INDEX($B$40:$B$71,'Round 10'!$Q$56)),0))</f>
        <v/>
      </c>
      <c r="O28" s="21">
        <f>IF($B28="","",N28-$C28)</f>
        <v/>
      </c>
    </row>
    <row r="29">
      <c r="A29" s="10" t="n">
        <v>26</v>
      </c>
      <c r="B29" s="17">
        <f>IF(Setup!B30="","",Setup!B30)</f>
        <v/>
      </c>
      <c r="C29" s="20">
        <f>IF($B29="","",N(Setup!E30))</f>
        <v/>
      </c>
      <c r="D29" s="20">
        <f>IF($B29="","",$C29)</f>
        <v/>
      </c>
      <c r="E29" s="20">
        <f>IF($B29="","",D29+IF('Round 1'!$S$31&gt;0,N(INDEX($B$40:$B$71,'Round 1'!$Q$57)),0))</f>
        <v/>
      </c>
      <c r="F29" s="20">
        <f>IF($B29="","",E29+IF('Round 2'!$S$31&gt;0,N(INDEX($B$40:$B$71,'Round 2'!$Q$57)),0))</f>
        <v/>
      </c>
      <c r="G29" s="20">
        <f>IF($B29="","",F29+IF('Round 3'!$S$31&gt;0,N(INDEX($B$40:$B$71,'Round 3'!$Q$57)),0))</f>
        <v/>
      </c>
      <c r="H29" s="20">
        <f>IF($B29="","",G29+IF('Round 4'!$S$31&gt;0,N(INDEX($B$40:$B$71,'Round 4'!$Q$57)),0))</f>
        <v/>
      </c>
      <c r="I29" s="20">
        <f>IF($B29="","",H29+IF('Round 5'!$S$31&gt;0,N(INDEX($B$40:$B$71,'Round 5'!$Q$57)),0))</f>
        <v/>
      </c>
      <c r="J29" s="20">
        <f>IF($B29="","",I29+IF('Round 6'!$S$31&gt;0,N(INDEX($B$40:$B$71,'Round 6'!$Q$57)),0))</f>
        <v/>
      </c>
      <c r="K29" s="20">
        <f>IF($B29="","",J29+IF('Round 7'!$S$31&gt;0,N(INDEX($B$40:$B$71,'Round 7'!$Q$57)),0))</f>
        <v/>
      </c>
      <c r="L29" s="20">
        <f>IF($B29="","",K29+IF('Round 8'!$S$31&gt;0,N(INDEX($B$40:$B$71,'Round 8'!$Q$57)),0))</f>
        <v/>
      </c>
      <c r="M29" s="20">
        <f>IF($B29="","",L29+IF('Round 9'!$S$31&gt;0,N(INDEX($B$40:$B$71,'Round 9'!$Q$57)),0))</f>
        <v/>
      </c>
      <c r="N29" s="20">
        <f>IF($B29="","",M29+IF('Round 10'!$S$31&gt;0,N(INDEX($B$40:$B$71,'Round 10'!$Q$57)),0))</f>
        <v/>
      </c>
      <c r="O29" s="21">
        <f>IF($B29="","",N29-$C29)</f>
        <v/>
      </c>
    </row>
    <row r="30">
      <c r="A30" s="10" t="n">
        <v>27</v>
      </c>
      <c r="B30" s="17">
        <f>IF(Setup!B31="","",Setup!B31)</f>
        <v/>
      </c>
      <c r="C30" s="20">
        <f>IF($B30="","",N(Setup!E31))</f>
        <v/>
      </c>
      <c r="D30" s="20">
        <f>IF($B30="","",$C30)</f>
        <v/>
      </c>
      <c r="E30" s="20">
        <f>IF($B30="","",D30+IF('Round 1'!$S$31&gt;0,N(INDEX($B$40:$B$71,'Round 1'!$Q$58)),0))</f>
        <v/>
      </c>
      <c r="F30" s="20">
        <f>IF($B30="","",E30+IF('Round 2'!$S$31&gt;0,N(INDEX($B$40:$B$71,'Round 2'!$Q$58)),0))</f>
        <v/>
      </c>
      <c r="G30" s="20">
        <f>IF($B30="","",F30+IF('Round 3'!$S$31&gt;0,N(INDEX($B$40:$B$71,'Round 3'!$Q$58)),0))</f>
        <v/>
      </c>
      <c r="H30" s="20">
        <f>IF($B30="","",G30+IF('Round 4'!$S$31&gt;0,N(INDEX($B$40:$B$71,'Round 4'!$Q$58)),0))</f>
        <v/>
      </c>
      <c r="I30" s="20">
        <f>IF($B30="","",H30+IF('Round 5'!$S$31&gt;0,N(INDEX($B$40:$B$71,'Round 5'!$Q$58)),0))</f>
        <v/>
      </c>
      <c r="J30" s="20">
        <f>IF($B30="","",I30+IF('Round 6'!$S$31&gt;0,N(INDEX($B$40:$B$71,'Round 6'!$Q$58)),0))</f>
        <v/>
      </c>
      <c r="K30" s="20">
        <f>IF($B30="","",J30+IF('Round 7'!$S$31&gt;0,N(INDEX($B$40:$B$71,'Round 7'!$Q$58)),0))</f>
        <v/>
      </c>
      <c r="L30" s="20">
        <f>IF($B30="","",K30+IF('Round 8'!$S$31&gt;0,N(INDEX($B$40:$B$71,'Round 8'!$Q$58)),0))</f>
        <v/>
      </c>
      <c r="M30" s="20">
        <f>IF($B30="","",L30+IF('Round 9'!$S$31&gt;0,N(INDEX($B$40:$B$71,'Round 9'!$Q$58)),0))</f>
        <v/>
      </c>
      <c r="N30" s="20">
        <f>IF($B30="","",M30+IF('Round 10'!$S$31&gt;0,N(INDEX($B$40:$B$71,'Round 10'!$Q$58)),0))</f>
        <v/>
      </c>
      <c r="O30" s="21">
        <f>IF($B30="","",N30-$C30)</f>
        <v/>
      </c>
    </row>
    <row r="31">
      <c r="A31" s="10" t="n">
        <v>28</v>
      </c>
      <c r="B31" s="17">
        <f>IF(Setup!B32="","",Setup!B32)</f>
        <v/>
      </c>
      <c r="C31" s="20">
        <f>IF($B31="","",N(Setup!E32))</f>
        <v/>
      </c>
      <c r="D31" s="20">
        <f>IF($B31="","",$C31)</f>
        <v/>
      </c>
      <c r="E31" s="20">
        <f>IF($B31="","",D31+IF('Round 1'!$S$31&gt;0,N(INDEX($B$40:$B$71,'Round 1'!$Q$59)),0))</f>
        <v/>
      </c>
      <c r="F31" s="20">
        <f>IF($B31="","",E31+IF('Round 2'!$S$31&gt;0,N(INDEX($B$40:$B$71,'Round 2'!$Q$59)),0))</f>
        <v/>
      </c>
      <c r="G31" s="20">
        <f>IF($B31="","",F31+IF('Round 3'!$S$31&gt;0,N(INDEX($B$40:$B$71,'Round 3'!$Q$59)),0))</f>
        <v/>
      </c>
      <c r="H31" s="20">
        <f>IF($B31="","",G31+IF('Round 4'!$S$31&gt;0,N(INDEX($B$40:$B$71,'Round 4'!$Q$59)),0))</f>
        <v/>
      </c>
      <c r="I31" s="20">
        <f>IF($B31="","",H31+IF('Round 5'!$S$31&gt;0,N(INDEX($B$40:$B$71,'Round 5'!$Q$59)),0))</f>
        <v/>
      </c>
      <c r="J31" s="20">
        <f>IF($B31="","",I31+IF('Round 6'!$S$31&gt;0,N(INDEX($B$40:$B$71,'Round 6'!$Q$59)),0))</f>
        <v/>
      </c>
      <c r="K31" s="20">
        <f>IF($B31="","",J31+IF('Round 7'!$S$31&gt;0,N(INDEX($B$40:$B$71,'Round 7'!$Q$59)),0))</f>
        <v/>
      </c>
      <c r="L31" s="20">
        <f>IF($B31="","",K31+IF('Round 8'!$S$31&gt;0,N(INDEX($B$40:$B$71,'Round 8'!$Q$59)),0))</f>
        <v/>
      </c>
      <c r="M31" s="20">
        <f>IF($B31="","",L31+IF('Round 9'!$S$31&gt;0,N(INDEX($B$40:$B$71,'Round 9'!$Q$59)),0))</f>
        <v/>
      </c>
      <c r="N31" s="20">
        <f>IF($B31="","",M31+IF('Round 10'!$S$31&gt;0,N(INDEX($B$40:$B$71,'Round 10'!$Q$59)),0))</f>
        <v/>
      </c>
      <c r="O31" s="21">
        <f>IF($B31="","",N31-$C31)</f>
        <v/>
      </c>
    </row>
    <row r="32">
      <c r="A32" s="10" t="n">
        <v>29</v>
      </c>
      <c r="B32" s="17">
        <f>IF(Setup!B33="","",Setup!B33)</f>
        <v/>
      </c>
      <c r="C32" s="20">
        <f>IF($B32="","",N(Setup!E33))</f>
        <v/>
      </c>
      <c r="D32" s="20">
        <f>IF($B32="","",$C32)</f>
        <v/>
      </c>
      <c r="E32" s="20">
        <f>IF($B32="","",D32+IF('Round 1'!$S$31&gt;0,N(INDEX($B$40:$B$71,'Round 1'!$Q$60)),0))</f>
        <v/>
      </c>
      <c r="F32" s="20">
        <f>IF($B32="","",E32+IF('Round 2'!$S$31&gt;0,N(INDEX($B$40:$B$71,'Round 2'!$Q$60)),0))</f>
        <v/>
      </c>
      <c r="G32" s="20">
        <f>IF($B32="","",F32+IF('Round 3'!$S$31&gt;0,N(INDEX($B$40:$B$71,'Round 3'!$Q$60)),0))</f>
        <v/>
      </c>
      <c r="H32" s="20">
        <f>IF($B32="","",G32+IF('Round 4'!$S$31&gt;0,N(INDEX($B$40:$B$71,'Round 4'!$Q$60)),0))</f>
        <v/>
      </c>
      <c r="I32" s="20">
        <f>IF($B32="","",H32+IF('Round 5'!$S$31&gt;0,N(INDEX($B$40:$B$71,'Round 5'!$Q$60)),0))</f>
        <v/>
      </c>
      <c r="J32" s="20">
        <f>IF($B32="","",I32+IF('Round 6'!$S$31&gt;0,N(INDEX($B$40:$B$71,'Round 6'!$Q$60)),0))</f>
        <v/>
      </c>
      <c r="K32" s="20">
        <f>IF($B32="","",J32+IF('Round 7'!$S$31&gt;0,N(INDEX($B$40:$B$71,'Round 7'!$Q$60)),0))</f>
        <v/>
      </c>
      <c r="L32" s="20">
        <f>IF($B32="","",K32+IF('Round 8'!$S$31&gt;0,N(INDEX($B$40:$B$71,'Round 8'!$Q$60)),0))</f>
        <v/>
      </c>
      <c r="M32" s="20">
        <f>IF($B32="","",L32+IF('Round 9'!$S$31&gt;0,N(INDEX($B$40:$B$71,'Round 9'!$Q$60)),0))</f>
        <v/>
      </c>
      <c r="N32" s="20">
        <f>IF($B32="","",M32+IF('Round 10'!$S$31&gt;0,N(INDEX($B$40:$B$71,'Round 10'!$Q$60)),0))</f>
        <v/>
      </c>
      <c r="O32" s="21">
        <f>IF($B32="","",N32-$C32)</f>
        <v/>
      </c>
    </row>
    <row r="33">
      <c r="A33" s="10" t="n">
        <v>30</v>
      </c>
      <c r="B33" s="17">
        <f>IF(Setup!B34="","",Setup!B34)</f>
        <v/>
      </c>
      <c r="C33" s="20">
        <f>IF($B33="","",N(Setup!E34))</f>
        <v/>
      </c>
      <c r="D33" s="20">
        <f>IF($B33="","",$C33)</f>
        <v/>
      </c>
      <c r="E33" s="20">
        <f>IF($B33="","",D33+IF('Round 1'!$S$31&gt;0,N(INDEX($B$40:$B$71,'Round 1'!$Q$61)),0))</f>
        <v/>
      </c>
      <c r="F33" s="20">
        <f>IF($B33="","",E33+IF('Round 2'!$S$31&gt;0,N(INDEX($B$40:$B$71,'Round 2'!$Q$61)),0))</f>
        <v/>
      </c>
      <c r="G33" s="20">
        <f>IF($B33="","",F33+IF('Round 3'!$S$31&gt;0,N(INDEX($B$40:$B$71,'Round 3'!$Q$61)),0))</f>
        <v/>
      </c>
      <c r="H33" s="20">
        <f>IF($B33="","",G33+IF('Round 4'!$S$31&gt;0,N(INDEX($B$40:$B$71,'Round 4'!$Q$61)),0))</f>
        <v/>
      </c>
      <c r="I33" s="20">
        <f>IF($B33="","",H33+IF('Round 5'!$S$31&gt;0,N(INDEX($B$40:$B$71,'Round 5'!$Q$61)),0))</f>
        <v/>
      </c>
      <c r="J33" s="20">
        <f>IF($B33="","",I33+IF('Round 6'!$S$31&gt;0,N(INDEX($B$40:$B$71,'Round 6'!$Q$61)),0))</f>
        <v/>
      </c>
      <c r="K33" s="20">
        <f>IF($B33="","",J33+IF('Round 7'!$S$31&gt;0,N(INDEX($B$40:$B$71,'Round 7'!$Q$61)),0))</f>
        <v/>
      </c>
      <c r="L33" s="20">
        <f>IF($B33="","",K33+IF('Round 8'!$S$31&gt;0,N(INDEX($B$40:$B$71,'Round 8'!$Q$61)),0))</f>
        <v/>
      </c>
      <c r="M33" s="20">
        <f>IF($B33="","",L33+IF('Round 9'!$S$31&gt;0,N(INDEX($B$40:$B$71,'Round 9'!$Q$61)),0))</f>
        <v/>
      </c>
      <c r="N33" s="20">
        <f>IF($B33="","",M33+IF('Round 10'!$S$31&gt;0,N(INDEX($B$40:$B$71,'Round 10'!$Q$61)),0))</f>
        <v/>
      </c>
      <c r="O33" s="21">
        <f>IF($B33="","",N33-$C33)</f>
        <v/>
      </c>
    </row>
    <row r="34">
      <c r="A34" s="10" t="n">
        <v>31</v>
      </c>
      <c r="B34" s="17">
        <f>IF(Setup!B35="","",Setup!B35)</f>
        <v/>
      </c>
      <c r="C34" s="20">
        <f>IF($B34="","",N(Setup!E35))</f>
        <v/>
      </c>
      <c r="D34" s="20">
        <f>IF($B34="","",$C34)</f>
        <v/>
      </c>
      <c r="E34" s="20">
        <f>IF($B34="","",D34+IF('Round 1'!$S$31&gt;0,N(INDEX($B$40:$B$71,'Round 1'!$Q$62)),0))</f>
        <v/>
      </c>
      <c r="F34" s="20">
        <f>IF($B34="","",E34+IF('Round 2'!$S$31&gt;0,N(INDEX($B$40:$B$71,'Round 2'!$Q$62)),0))</f>
        <v/>
      </c>
      <c r="G34" s="20">
        <f>IF($B34="","",F34+IF('Round 3'!$S$31&gt;0,N(INDEX($B$40:$B$71,'Round 3'!$Q$62)),0))</f>
        <v/>
      </c>
      <c r="H34" s="20">
        <f>IF($B34="","",G34+IF('Round 4'!$S$31&gt;0,N(INDEX($B$40:$B$71,'Round 4'!$Q$62)),0))</f>
        <v/>
      </c>
      <c r="I34" s="20">
        <f>IF($B34="","",H34+IF('Round 5'!$S$31&gt;0,N(INDEX($B$40:$B$71,'Round 5'!$Q$62)),0))</f>
        <v/>
      </c>
      <c r="J34" s="20">
        <f>IF($B34="","",I34+IF('Round 6'!$S$31&gt;0,N(INDEX($B$40:$B$71,'Round 6'!$Q$62)),0))</f>
        <v/>
      </c>
      <c r="K34" s="20">
        <f>IF($B34="","",J34+IF('Round 7'!$S$31&gt;0,N(INDEX($B$40:$B$71,'Round 7'!$Q$62)),0))</f>
        <v/>
      </c>
      <c r="L34" s="20">
        <f>IF($B34="","",K34+IF('Round 8'!$S$31&gt;0,N(INDEX($B$40:$B$71,'Round 8'!$Q$62)),0))</f>
        <v/>
      </c>
      <c r="M34" s="20">
        <f>IF($B34="","",L34+IF('Round 9'!$S$31&gt;0,N(INDEX($B$40:$B$71,'Round 9'!$Q$62)),0))</f>
        <v/>
      </c>
      <c r="N34" s="20">
        <f>IF($B34="","",M34+IF('Round 10'!$S$31&gt;0,N(INDEX($B$40:$B$71,'Round 10'!$Q$62)),0))</f>
        <v/>
      </c>
      <c r="O34" s="21">
        <f>IF($B34="","",N34-$C34)</f>
        <v/>
      </c>
    </row>
    <row r="35">
      <c r="A35" s="10" t="n">
        <v>32</v>
      </c>
      <c r="B35" s="17">
        <f>IF(Setup!B36="","",Setup!B36)</f>
        <v/>
      </c>
      <c r="C35" s="20">
        <f>IF($B35="","",N(Setup!E36))</f>
        <v/>
      </c>
      <c r="D35" s="20">
        <f>IF($B35="","",$C35)</f>
        <v/>
      </c>
      <c r="E35" s="20">
        <f>IF($B35="","",D35+IF('Round 1'!$S$31&gt;0,N(INDEX($B$40:$B$71,'Round 1'!$Q$63)),0))</f>
        <v/>
      </c>
      <c r="F35" s="20">
        <f>IF($B35="","",E35+IF('Round 2'!$S$31&gt;0,N(INDEX($B$40:$B$71,'Round 2'!$Q$63)),0))</f>
        <v/>
      </c>
      <c r="G35" s="20">
        <f>IF($B35="","",F35+IF('Round 3'!$S$31&gt;0,N(INDEX($B$40:$B$71,'Round 3'!$Q$63)),0))</f>
        <v/>
      </c>
      <c r="H35" s="20">
        <f>IF($B35="","",G35+IF('Round 4'!$S$31&gt;0,N(INDEX($B$40:$B$71,'Round 4'!$Q$63)),0))</f>
        <v/>
      </c>
      <c r="I35" s="20">
        <f>IF($B35="","",H35+IF('Round 5'!$S$31&gt;0,N(INDEX($B$40:$B$71,'Round 5'!$Q$63)),0))</f>
        <v/>
      </c>
      <c r="J35" s="20">
        <f>IF($B35="","",I35+IF('Round 6'!$S$31&gt;0,N(INDEX($B$40:$B$71,'Round 6'!$Q$63)),0))</f>
        <v/>
      </c>
      <c r="K35" s="20">
        <f>IF($B35="","",J35+IF('Round 7'!$S$31&gt;0,N(INDEX($B$40:$B$71,'Round 7'!$Q$63)),0))</f>
        <v/>
      </c>
      <c r="L35" s="20">
        <f>IF($B35="","",K35+IF('Round 8'!$S$31&gt;0,N(INDEX($B$40:$B$71,'Round 8'!$Q$63)),0))</f>
        <v/>
      </c>
      <c r="M35" s="20">
        <f>IF($B35="","",L35+IF('Round 9'!$S$31&gt;0,N(INDEX($B$40:$B$71,'Round 9'!$Q$63)),0))</f>
        <v/>
      </c>
      <c r="N35" s="20">
        <f>IF($B35="","",M35+IF('Round 10'!$S$31&gt;0,N(INDEX($B$40:$B$71,'Round 10'!$Q$63)),0))</f>
        <v/>
      </c>
      <c r="O35" s="21">
        <f>IF($B35="","",N35-$C35)</f>
        <v/>
      </c>
    </row>
    <row r="38">
      <c r="A38" s="4" t="inlineStr">
        <is>
          <t>Daily Handicap Adjustment (auto-scales to player count — amounts may be overridden)</t>
        </is>
      </c>
    </row>
    <row r="39">
      <c r="A39" s="8" t="inlineStr">
        <is>
          <t>Position</t>
        </is>
      </c>
      <c r="B39" s="8" t="inlineStr">
        <is>
          <t>Amount</t>
        </is>
      </c>
    </row>
    <row r="40">
      <c r="A40" s="10" t="n">
        <v>1</v>
      </c>
      <c r="B40" s="22">
        <f>IF(OR($B$1=0,A40&gt;$B$1),"",IF($B$1&lt;=1,0,2*(2*(A40-1)/($B$1-1)-1)))</f>
        <v/>
      </c>
    </row>
    <row r="41">
      <c r="A41" s="10" t="n">
        <v>2</v>
      </c>
      <c r="B41" s="22">
        <f>IF(OR($B$1=0,A41&gt;$B$1),"",IF($B$1&lt;=1,0,2*(2*(A41-1)/($B$1-1)-1)))</f>
        <v/>
      </c>
    </row>
    <row r="42">
      <c r="A42" s="10" t="n">
        <v>3</v>
      </c>
      <c r="B42" s="22">
        <f>IF(OR($B$1=0,A42&gt;$B$1),"",IF($B$1&lt;=1,0,2*(2*(A42-1)/($B$1-1)-1)))</f>
        <v/>
      </c>
    </row>
    <row r="43">
      <c r="A43" s="10" t="n">
        <v>4</v>
      </c>
      <c r="B43" s="22">
        <f>IF(OR($B$1=0,A43&gt;$B$1),"",IF($B$1&lt;=1,0,2*(2*(A43-1)/($B$1-1)-1)))</f>
        <v/>
      </c>
    </row>
    <row r="44">
      <c r="A44" s="10" t="n">
        <v>5</v>
      </c>
      <c r="B44" s="22">
        <f>IF(OR($B$1=0,A44&gt;$B$1),"",IF($B$1&lt;=1,0,2*(2*(A44-1)/($B$1-1)-1)))</f>
        <v/>
      </c>
    </row>
    <row r="45">
      <c r="A45" s="10" t="n">
        <v>6</v>
      </c>
      <c r="B45" s="22">
        <f>IF(OR($B$1=0,A45&gt;$B$1),"",IF($B$1&lt;=1,0,2*(2*(A45-1)/($B$1-1)-1)))</f>
        <v/>
      </c>
    </row>
    <row r="46">
      <c r="A46" s="10" t="n">
        <v>7</v>
      </c>
      <c r="B46" s="22">
        <f>IF(OR($B$1=0,A46&gt;$B$1),"",IF($B$1&lt;=1,0,2*(2*(A46-1)/($B$1-1)-1)))</f>
        <v/>
      </c>
    </row>
    <row r="47">
      <c r="A47" s="10" t="n">
        <v>8</v>
      </c>
      <c r="B47" s="22">
        <f>IF(OR($B$1=0,A47&gt;$B$1),"",IF($B$1&lt;=1,0,2*(2*(A47-1)/($B$1-1)-1)))</f>
        <v/>
      </c>
    </row>
    <row r="48">
      <c r="A48" s="10" t="n">
        <v>9</v>
      </c>
      <c r="B48" s="22">
        <f>IF(OR($B$1=0,A48&gt;$B$1),"",IF($B$1&lt;=1,0,2*(2*(A48-1)/($B$1-1)-1)))</f>
        <v/>
      </c>
    </row>
    <row r="49">
      <c r="A49" s="10" t="n">
        <v>10</v>
      </c>
      <c r="B49" s="22">
        <f>IF(OR($B$1=0,A49&gt;$B$1),"",IF($B$1&lt;=1,0,2*(2*(A49-1)/($B$1-1)-1)))</f>
        <v/>
      </c>
    </row>
    <row r="50">
      <c r="A50" s="10" t="n">
        <v>11</v>
      </c>
      <c r="B50" s="22">
        <f>IF(OR($B$1=0,A50&gt;$B$1),"",IF($B$1&lt;=1,0,2*(2*(A50-1)/($B$1-1)-1)))</f>
        <v/>
      </c>
    </row>
    <row r="51">
      <c r="A51" s="10" t="n">
        <v>12</v>
      </c>
      <c r="B51" s="22">
        <f>IF(OR($B$1=0,A51&gt;$B$1),"",IF($B$1&lt;=1,0,2*(2*(A51-1)/($B$1-1)-1)))</f>
        <v/>
      </c>
    </row>
    <row r="52">
      <c r="A52" s="10" t="n">
        <v>13</v>
      </c>
      <c r="B52" s="22">
        <f>IF(OR($B$1=0,A52&gt;$B$1),"",IF($B$1&lt;=1,0,2*(2*(A52-1)/($B$1-1)-1)))</f>
        <v/>
      </c>
    </row>
    <row r="53">
      <c r="A53" s="10" t="n">
        <v>14</v>
      </c>
      <c r="B53" s="22">
        <f>IF(OR($B$1=0,A53&gt;$B$1),"",IF($B$1&lt;=1,0,2*(2*(A53-1)/($B$1-1)-1)))</f>
        <v/>
      </c>
    </row>
    <row r="54">
      <c r="A54" s="10" t="n">
        <v>15</v>
      </c>
      <c r="B54" s="22">
        <f>IF(OR($B$1=0,A54&gt;$B$1),"",IF($B$1&lt;=1,0,2*(2*(A54-1)/($B$1-1)-1)))</f>
        <v/>
      </c>
    </row>
    <row r="55">
      <c r="A55" s="10" t="n">
        <v>16</v>
      </c>
      <c r="B55" s="22">
        <f>IF(OR($B$1=0,A55&gt;$B$1),"",IF($B$1&lt;=1,0,2*(2*(A55-1)/($B$1-1)-1)))</f>
        <v/>
      </c>
    </row>
    <row r="56">
      <c r="A56" s="10" t="n">
        <v>17</v>
      </c>
      <c r="B56" s="22">
        <f>IF(OR($B$1=0,A56&gt;$B$1),"",IF($B$1&lt;=1,0,2*(2*(A56-1)/($B$1-1)-1)))</f>
        <v/>
      </c>
    </row>
    <row r="57">
      <c r="A57" s="10" t="n">
        <v>18</v>
      </c>
      <c r="B57" s="22">
        <f>IF(OR($B$1=0,A57&gt;$B$1),"",IF($B$1&lt;=1,0,2*(2*(A57-1)/($B$1-1)-1)))</f>
        <v/>
      </c>
    </row>
    <row r="58">
      <c r="A58" s="10" t="n">
        <v>19</v>
      </c>
      <c r="B58" s="22">
        <f>IF(OR($B$1=0,A58&gt;$B$1),"",IF($B$1&lt;=1,0,2*(2*(A58-1)/($B$1-1)-1)))</f>
        <v/>
      </c>
    </row>
    <row r="59">
      <c r="A59" s="10" t="n">
        <v>20</v>
      </c>
      <c r="B59" s="22">
        <f>IF(OR($B$1=0,A59&gt;$B$1),"",IF($B$1&lt;=1,0,2*(2*(A59-1)/($B$1-1)-1)))</f>
        <v/>
      </c>
    </row>
    <row r="60">
      <c r="A60" s="10" t="n">
        <v>21</v>
      </c>
      <c r="B60" s="22">
        <f>IF(OR($B$1=0,A60&gt;$B$1),"",IF($B$1&lt;=1,0,2*(2*(A60-1)/($B$1-1)-1)))</f>
        <v/>
      </c>
    </row>
    <row r="61">
      <c r="A61" s="10" t="n">
        <v>22</v>
      </c>
      <c r="B61" s="22">
        <f>IF(OR($B$1=0,A61&gt;$B$1),"",IF($B$1&lt;=1,0,2*(2*(A61-1)/($B$1-1)-1)))</f>
        <v/>
      </c>
    </row>
    <row r="62">
      <c r="A62" s="10" t="n">
        <v>23</v>
      </c>
      <c r="B62" s="22">
        <f>IF(OR($B$1=0,A62&gt;$B$1),"",IF($B$1&lt;=1,0,2*(2*(A62-1)/($B$1-1)-1)))</f>
        <v/>
      </c>
    </row>
    <row r="63">
      <c r="A63" s="10" t="n">
        <v>24</v>
      </c>
      <c r="B63" s="22">
        <f>IF(OR($B$1=0,A63&gt;$B$1),"",IF($B$1&lt;=1,0,2*(2*(A63-1)/($B$1-1)-1)))</f>
        <v/>
      </c>
    </row>
    <row r="64">
      <c r="A64" s="10" t="n">
        <v>25</v>
      </c>
      <c r="B64" s="22">
        <f>IF(OR($B$1=0,A64&gt;$B$1),"",IF($B$1&lt;=1,0,2*(2*(A64-1)/($B$1-1)-1)))</f>
        <v/>
      </c>
    </row>
    <row r="65">
      <c r="A65" s="10" t="n">
        <v>26</v>
      </c>
      <c r="B65" s="22">
        <f>IF(OR($B$1=0,A65&gt;$B$1),"",IF($B$1&lt;=1,0,2*(2*(A65-1)/($B$1-1)-1)))</f>
        <v/>
      </c>
    </row>
    <row r="66">
      <c r="A66" s="10" t="n">
        <v>27</v>
      </c>
      <c r="B66" s="22">
        <f>IF(OR($B$1=0,A66&gt;$B$1),"",IF($B$1&lt;=1,0,2*(2*(A66-1)/($B$1-1)-1)))</f>
        <v/>
      </c>
    </row>
    <row r="67">
      <c r="A67" s="10" t="n">
        <v>28</v>
      </c>
      <c r="B67" s="22">
        <f>IF(OR($B$1=0,A67&gt;$B$1),"",IF($B$1&lt;=1,0,2*(2*(A67-1)/($B$1-1)-1)))</f>
        <v/>
      </c>
    </row>
    <row r="68">
      <c r="A68" s="10" t="n">
        <v>29</v>
      </c>
      <c r="B68" s="22">
        <f>IF(OR($B$1=0,A68&gt;$B$1),"",IF($B$1&lt;=1,0,2*(2*(A68-1)/($B$1-1)-1)))</f>
        <v/>
      </c>
    </row>
    <row r="69">
      <c r="A69" s="10" t="n">
        <v>30</v>
      </c>
      <c r="B69" s="22">
        <f>IF(OR($B$1=0,A69&gt;$B$1),"",IF($B$1&lt;=1,0,2*(2*(A69-1)/($B$1-1)-1)))</f>
        <v/>
      </c>
    </row>
    <row r="70">
      <c r="A70" s="10" t="n">
        <v>31</v>
      </c>
      <c r="B70" s="22">
        <f>IF(OR($B$1=0,A70&gt;$B$1),"",IF($B$1&lt;=1,0,2*(2*(A70-1)/($B$1-1)-1)))</f>
        <v/>
      </c>
    </row>
    <row r="71">
      <c r="A71" s="10" t="n">
        <v>32</v>
      </c>
      <c r="B71" s="22">
        <f>IF(OR($B$1=0,A71&gt;$B$1),"",IF($B$1&lt;=1,0,2*(2*(A71-1)/($B$1-1)-1)))</f>
        <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1</t>
        </is>
      </c>
      <c r="B1" s="1">
        <f>IF(Setup!G$4="","(enter course on Setup sheet)",Setup!G$4)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IF(D$2="","",ROUND(Handicapping!D4,0))</f>
        <v/>
      </c>
      <c r="E3" s="9" t="n"/>
      <c r="F3" s="26">
        <f>IF(F$2="","",ROUND(Handicapping!D5,0))</f>
        <v/>
      </c>
      <c r="G3" s="9" t="n"/>
      <c r="H3" s="26">
        <f>IF(H$2="","",ROUND(Handicapping!D6,0))</f>
        <v/>
      </c>
      <c r="I3" s="9" t="n"/>
      <c r="J3" s="26">
        <f>IF(J$2="","",ROUND(Handicapping!D7,0))</f>
        <v/>
      </c>
      <c r="K3" s="9" t="n"/>
      <c r="L3" s="26">
        <f>IF(L$2="","",ROUND(Handicapping!D8,0))</f>
        <v/>
      </c>
      <c r="M3" s="9" t="n"/>
      <c r="N3" s="26">
        <f>IF(N$2="","",ROUND(Handicapping!D9,0))</f>
        <v/>
      </c>
      <c r="O3" s="9" t="n"/>
      <c r="P3" s="26">
        <f>IF(P$2="","",ROUND(Handicapping!D10,0))</f>
        <v/>
      </c>
      <c r="Q3" s="9" t="n"/>
      <c r="R3" s="26">
        <f>IF(R$2="","",ROUND(Handicapping!D11,0))</f>
        <v/>
      </c>
      <c r="S3" s="9" t="n"/>
      <c r="T3" s="26">
        <f>IF(T$2="","",ROUND(Handicapping!D12,0))</f>
        <v/>
      </c>
      <c r="U3" s="9" t="n"/>
      <c r="V3" s="26">
        <f>IF(V$2="","",ROUND(Handicapping!D13,0))</f>
        <v/>
      </c>
      <c r="W3" s="9" t="n"/>
      <c r="X3" s="26">
        <f>IF(X$2="","",ROUND(Handicapping!D14,0))</f>
        <v/>
      </c>
      <c r="Y3" s="9" t="n"/>
      <c r="Z3" s="26">
        <f>IF(Z$2="","",ROUND(Handicapping!D15,0))</f>
        <v/>
      </c>
      <c r="AA3" s="9" t="n"/>
      <c r="AB3" s="26">
        <f>IF(AB$2="","",ROUND(Handicapping!D16,0))</f>
        <v/>
      </c>
      <c r="AC3" s="9" t="n"/>
      <c r="AD3" s="26">
        <f>IF(AD$2="","",ROUND(Handicapping!D17,0))</f>
        <v/>
      </c>
      <c r="AE3" s="9" t="n"/>
      <c r="AF3" s="26">
        <f>IF(AF$2="","",ROUND(Handicapping!D18,0))</f>
        <v/>
      </c>
      <c r="AG3" s="9" t="n"/>
      <c r="AH3" s="26">
        <f>IF(AH$2="","",ROUND(Handicapping!D19,0))</f>
        <v/>
      </c>
      <c r="AI3" s="9" t="n"/>
      <c r="AJ3" s="26">
        <f>IF(AJ$2="","",ROUND(Handicapping!D20,0))</f>
        <v/>
      </c>
      <c r="AK3" s="9" t="n"/>
      <c r="AL3" s="26">
        <f>IF(AL$2="","",ROUND(Handicapping!D21,0))</f>
        <v/>
      </c>
      <c r="AM3" s="9" t="n"/>
      <c r="AN3" s="26">
        <f>IF(AN$2="","",ROUND(Handicapping!D22,0))</f>
        <v/>
      </c>
      <c r="AO3" s="9" t="n"/>
      <c r="AP3" s="26">
        <f>IF(AP$2="","",ROUND(Handicapping!D23,0))</f>
        <v/>
      </c>
      <c r="AQ3" s="9" t="n"/>
      <c r="AR3" s="26">
        <f>IF(AR$2="","",ROUND(Handicapping!D24,0))</f>
        <v/>
      </c>
      <c r="AS3" s="9" t="n"/>
      <c r="AT3" s="26">
        <f>IF(AT$2="","",ROUND(Handicapping!D25,0))</f>
        <v/>
      </c>
      <c r="AU3" s="9" t="n"/>
      <c r="AV3" s="26">
        <f>IF(AV$2="","",ROUND(Handicapping!D26,0))</f>
        <v/>
      </c>
      <c r="AW3" s="9" t="n"/>
      <c r="AX3" s="26">
        <f>IF(AX$2="","",ROUND(Handicapping!D27,0))</f>
        <v/>
      </c>
      <c r="AY3" s="9" t="n"/>
      <c r="AZ3" s="26">
        <f>IF(AZ$2="","",ROUND(Handicapping!D28,0))</f>
        <v/>
      </c>
      <c r="BA3" s="9" t="n"/>
      <c r="BB3" s="26">
        <f>IF(BB$2="","",ROUND(Handicapping!D29,0))</f>
        <v/>
      </c>
      <c r="BC3" s="9" t="n"/>
      <c r="BD3" s="26">
        <f>IF(BD$2="","",ROUND(Handicapping!D30,0))</f>
        <v/>
      </c>
      <c r="BE3" s="9" t="n"/>
      <c r="BF3" s="26">
        <f>IF(BF$2="","",ROUND(Handicapping!D31,0))</f>
        <v/>
      </c>
      <c r="BG3" s="9" t="n"/>
      <c r="BH3" s="26">
        <f>IF(BH$2="","",ROUND(Handicapping!D32,0))</f>
        <v/>
      </c>
      <c r="BI3" s="9" t="n"/>
      <c r="BJ3" s="26">
        <f>IF(BJ$2="","",ROUND(Handicapping!D33,0))</f>
        <v/>
      </c>
      <c r="BK3" s="9" t="n"/>
      <c r="BL3" s="26">
        <f>IF(BL$2="","",ROUND(Handicapping!D34,0))</f>
        <v/>
      </c>
      <c r="BM3" s="9" t="n"/>
      <c r="BN3" s="26">
        <f>IF(BN$2="","",ROUND(Handicapping!D35,0))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IF(Setup!G$6="","",Setup!G$6)</f>
        <v/>
      </c>
      <c r="C5" s="27">
        <f>IF(Setup!H$6="","",Setup!H$6)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IF(Setup!G$7="","",Setup!G$7)</f>
        <v/>
      </c>
      <c r="C6" s="27">
        <f>IF(Setup!H$7="","",Setup!H$7)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IF(Setup!G$8="","",Setup!G$8)</f>
        <v/>
      </c>
      <c r="C7" s="27">
        <f>IF(Setup!H$8="","",Setup!H$8)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IF(Setup!G$9="","",Setup!G$9)</f>
        <v/>
      </c>
      <c r="C8" s="27">
        <f>IF(Setup!H$9="","",Setup!H$9)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IF(Setup!G$10="","",Setup!G$10)</f>
        <v/>
      </c>
      <c r="C9" s="27">
        <f>IF(Setup!H$10="","",Setup!H$10)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IF(Setup!G$11="","",Setup!G$11)</f>
        <v/>
      </c>
      <c r="C10" s="27">
        <f>IF(Setup!H$11="","",Setup!H$11)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IF(Setup!G$12="","",Setup!G$12)</f>
        <v/>
      </c>
      <c r="C11" s="27">
        <f>IF(Setup!H$12="","",Setup!H$12)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IF(Setup!G$13="","",Setup!G$13)</f>
        <v/>
      </c>
      <c r="C12" s="27">
        <f>IF(Setup!H$13="","",Setup!H$13)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IF(Setup!G$14="","",Setup!G$14)</f>
        <v/>
      </c>
      <c r="C13" s="27">
        <f>IF(Setup!H$14="","",Setup!H$14)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IF(Setup!G$15="","",Setup!G$15)</f>
        <v/>
      </c>
      <c r="C15" s="27">
        <f>IF(Setup!H$15="","",Setup!H$15)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IF(Setup!G$16="","",Setup!G$16)</f>
        <v/>
      </c>
      <c r="C16" s="27">
        <f>IF(Setup!H$16="","",Setup!H$16)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IF(Setup!G$17="","",Setup!G$17)</f>
        <v/>
      </c>
      <c r="C17" s="27">
        <f>IF(Setup!H$17="","",Setup!H$17)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IF(Setup!G$18="","",Setup!G$18)</f>
        <v/>
      </c>
      <c r="C18" s="27">
        <f>IF(Setup!H$18="","",Setup!H$18)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IF(Setup!G$19="","",Setup!G$19)</f>
        <v/>
      </c>
      <c r="C19" s="27">
        <f>IF(Setup!H$19="","",Setup!H$19)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IF(Setup!G$20="","",Setup!G$20)</f>
        <v/>
      </c>
      <c r="C20" s="27">
        <f>IF(Setup!H$20="","",Setup!H$20)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IF(Setup!G$21="","",Setup!G$21)</f>
        <v/>
      </c>
      <c r="C21" s="27">
        <f>IF(Setup!H$21="","",Setup!H$21)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IF(Setup!G$22="","",Setup!G$22)</f>
        <v/>
      </c>
      <c r="C22" s="27">
        <f>IF(Setup!H$22="","",Setup!H$22)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IF(Setup!G$23="","",Setup!G$23)</f>
        <v/>
      </c>
      <c r="C23" s="27">
        <f>IF(Setup!H$23="","",Setup!H$23)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2</t>
        </is>
      </c>
      <c r="B1" s="1">
        <f>IF(Setup!I$4="","(enter course on Setup sheet)",Setup!I$4)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IF(D$2="","",ROUND(Handicapping!E4,0))</f>
        <v/>
      </c>
      <c r="E3" s="9" t="n"/>
      <c r="F3" s="26">
        <f>IF(F$2="","",ROUND(Handicapping!E5,0))</f>
        <v/>
      </c>
      <c r="G3" s="9" t="n"/>
      <c r="H3" s="26">
        <f>IF(H$2="","",ROUND(Handicapping!E6,0))</f>
        <v/>
      </c>
      <c r="I3" s="9" t="n"/>
      <c r="J3" s="26">
        <f>IF(J$2="","",ROUND(Handicapping!E7,0))</f>
        <v/>
      </c>
      <c r="K3" s="9" t="n"/>
      <c r="L3" s="26">
        <f>IF(L$2="","",ROUND(Handicapping!E8,0))</f>
        <v/>
      </c>
      <c r="M3" s="9" t="n"/>
      <c r="N3" s="26">
        <f>IF(N$2="","",ROUND(Handicapping!E9,0))</f>
        <v/>
      </c>
      <c r="O3" s="9" t="n"/>
      <c r="P3" s="26">
        <f>IF(P$2="","",ROUND(Handicapping!E10,0))</f>
        <v/>
      </c>
      <c r="Q3" s="9" t="n"/>
      <c r="R3" s="26">
        <f>IF(R$2="","",ROUND(Handicapping!E11,0))</f>
        <v/>
      </c>
      <c r="S3" s="9" t="n"/>
      <c r="T3" s="26">
        <f>IF(T$2="","",ROUND(Handicapping!E12,0))</f>
        <v/>
      </c>
      <c r="U3" s="9" t="n"/>
      <c r="V3" s="26">
        <f>IF(V$2="","",ROUND(Handicapping!E13,0))</f>
        <v/>
      </c>
      <c r="W3" s="9" t="n"/>
      <c r="X3" s="26">
        <f>IF(X$2="","",ROUND(Handicapping!E14,0))</f>
        <v/>
      </c>
      <c r="Y3" s="9" t="n"/>
      <c r="Z3" s="26">
        <f>IF(Z$2="","",ROUND(Handicapping!E15,0))</f>
        <v/>
      </c>
      <c r="AA3" s="9" t="n"/>
      <c r="AB3" s="26">
        <f>IF(AB$2="","",ROUND(Handicapping!E16,0))</f>
        <v/>
      </c>
      <c r="AC3" s="9" t="n"/>
      <c r="AD3" s="26">
        <f>IF(AD$2="","",ROUND(Handicapping!E17,0))</f>
        <v/>
      </c>
      <c r="AE3" s="9" t="n"/>
      <c r="AF3" s="26">
        <f>IF(AF$2="","",ROUND(Handicapping!E18,0))</f>
        <v/>
      </c>
      <c r="AG3" s="9" t="n"/>
      <c r="AH3" s="26">
        <f>IF(AH$2="","",ROUND(Handicapping!E19,0))</f>
        <v/>
      </c>
      <c r="AI3" s="9" t="n"/>
      <c r="AJ3" s="26">
        <f>IF(AJ$2="","",ROUND(Handicapping!E20,0))</f>
        <v/>
      </c>
      <c r="AK3" s="9" t="n"/>
      <c r="AL3" s="26">
        <f>IF(AL$2="","",ROUND(Handicapping!E21,0))</f>
        <v/>
      </c>
      <c r="AM3" s="9" t="n"/>
      <c r="AN3" s="26">
        <f>IF(AN$2="","",ROUND(Handicapping!E22,0))</f>
        <v/>
      </c>
      <c r="AO3" s="9" t="n"/>
      <c r="AP3" s="26">
        <f>IF(AP$2="","",ROUND(Handicapping!E23,0))</f>
        <v/>
      </c>
      <c r="AQ3" s="9" t="n"/>
      <c r="AR3" s="26">
        <f>IF(AR$2="","",ROUND(Handicapping!E24,0))</f>
        <v/>
      </c>
      <c r="AS3" s="9" t="n"/>
      <c r="AT3" s="26">
        <f>IF(AT$2="","",ROUND(Handicapping!E25,0))</f>
        <v/>
      </c>
      <c r="AU3" s="9" t="n"/>
      <c r="AV3" s="26">
        <f>IF(AV$2="","",ROUND(Handicapping!E26,0))</f>
        <v/>
      </c>
      <c r="AW3" s="9" t="n"/>
      <c r="AX3" s="26">
        <f>IF(AX$2="","",ROUND(Handicapping!E27,0))</f>
        <v/>
      </c>
      <c r="AY3" s="9" t="n"/>
      <c r="AZ3" s="26">
        <f>IF(AZ$2="","",ROUND(Handicapping!E28,0))</f>
        <v/>
      </c>
      <c r="BA3" s="9" t="n"/>
      <c r="BB3" s="26">
        <f>IF(BB$2="","",ROUND(Handicapping!E29,0))</f>
        <v/>
      </c>
      <c r="BC3" s="9" t="n"/>
      <c r="BD3" s="26">
        <f>IF(BD$2="","",ROUND(Handicapping!E30,0))</f>
        <v/>
      </c>
      <c r="BE3" s="9" t="n"/>
      <c r="BF3" s="26">
        <f>IF(BF$2="","",ROUND(Handicapping!E31,0))</f>
        <v/>
      </c>
      <c r="BG3" s="9" t="n"/>
      <c r="BH3" s="26">
        <f>IF(BH$2="","",ROUND(Handicapping!E32,0))</f>
        <v/>
      </c>
      <c r="BI3" s="9" t="n"/>
      <c r="BJ3" s="26">
        <f>IF(BJ$2="","",ROUND(Handicapping!E33,0))</f>
        <v/>
      </c>
      <c r="BK3" s="9" t="n"/>
      <c r="BL3" s="26">
        <f>IF(BL$2="","",ROUND(Handicapping!E34,0))</f>
        <v/>
      </c>
      <c r="BM3" s="9" t="n"/>
      <c r="BN3" s="26">
        <f>IF(BN$2="","",ROUND(Handicapping!E35,0))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IF(Setup!I$6="","",Setup!I$6)</f>
        <v/>
      </c>
      <c r="C5" s="27">
        <f>IF(Setup!J$6="","",Setup!J$6)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IF(Setup!I$7="","",Setup!I$7)</f>
        <v/>
      </c>
      <c r="C6" s="27">
        <f>IF(Setup!J$7="","",Setup!J$7)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IF(Setup!I$8="","",Setup!I$8)</f>
        <v/>
      </c>
      <c r="C7" s="27">
        <f>IF(Setup!J$8="","",Setup!J$8)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IF(Setup!I$9="","",Setup!I$9)</f>
        <v/>
      </c>
      <c r="C8" s="27">
        <f>IF(Setup!J$9="","",Setup!J$9)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IF(Setup!I$10="","",Setup!I$10)</f>
        <v/>
      </c>
      <c r="C9" s="27">
        <f>IF(Setup!J$10="","",Setup!J$10)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IF(Setup!I$11="","",Setup!I$11)</f>
        <v/>
      </c>
      <c r="C10" s="27">
        <f>IF(Setup!J$11="","",Setup!J$11)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IF(Setup!I$12="","",Setup!I$12)</f>
        <v/>
      </c>
      <c r="C11" s="27">
        <f>IF(Setup!J$12="","",Setup!J$12)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IF(Setup!I$13="","",Setup!I$13)</f>
        <v/>
      </c>
      <c r="C12" s="27">
        <f>IF(Setup!J$13="","",Setup!J$13)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IF(Setup!I$14="","",Setup!I$14)</f>
        <v/>
      </c>
      <c r="C13" s="27">
        <f>IF(Setup!J$14="","",Setup!J$14)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IF(Setup!I$15="","",Setup!I$15)</f>
        <v/>
      </c>
      <c r="C15" s="27">
        <f>IF(Setup!J$15="","",Setup!J$15)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IF(Setup!I$16="","",Setup!I$16)</f>
        <v/>
      </c>
      <c r="C16" s="27">
        <f>IF(Setup!J$16="","",Setup!J$16)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IF(Setup!I$17="","",Setup!I$17)</f>
        <v/>
      </c>
      <c r="C17" s="27">
        <f>IF(Setup!J$17="","",Setup!J$17)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IF(Setup!I$18="","",Setup!I$18)</f>
        <v/>
      </c>
      <c r="C18" s="27">
        <f>IF(Setup!J$18="","",Setup!J$18)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IF(Setup!I$19="","",Setup!I$19)</f>
        <v/>
      </c>
      <c r="C19" s="27">
        <f>IF(Setup!J$19="","",Setup!J$19)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IF(Setup!I$20="","",Setup!I$20)</f>
        <v/>
      </c>
      <c r="C20" s="27">
        <f>IF(Setup!J$20="","",Setup!J$20)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IF(Setup!I$21="","",Setup!I$21)</f>
        <v/>
      </c>
      <c r="C21" s="27">
        <f>IF(Setup!J$21="","",Setup!J$21)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IF(Setup!I$22="","",Setup!I$22)</f>
        <v/>
      </c>
      <c r="C22" s="27">
        <f>IF(Setup!J$22="","",Setup!J$22)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IF(Setup!I$23="","",Setup!I$23)</f>
        <v/>
      </c>
      <c r="C23" s="27">
        <f>IF(Setup!J$23="","",Setup!J$23)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3</t>
        </is>
      </c>
      <c r="B1" s="1">
        <f>IF(Setup!K$4="","(enter course on Setup sheet)",Setup!K$4)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IF(D$2="","",ROUND(Handicapping!F4,0))</f>
        <v/>
      </c>
      <c r="E3" s="9" t="n"/>
      <c r="F3" s="26">
        <f>IF(F$2="","",ROUND(Handicapping!F5,0))</f>
        <v/>
      </c>
      <c r="G3" s="9" t="n"/>
      <c r="H3" s="26">
        <f>IF(H$2="","",ROUND(Handicapping!F6,0))</f>
        <v/>
      </c>
      <c r="I3" s="9" t="n"/>
      <c r="J3" s="26">
        <f>IF(J$2="","",ROUND(Handicapping!F7,0))</f>
        <v/>
      </c>
      <c r="K3" s="9" t="n"/>
      <c r="L3" s="26">
        <f>IF(L$2="","",ROUND(Handicapping!F8,0))</f>
        <v/>
      </c>
      <c r="M3" s="9" t="n"/>
      <c r="N3" s="26">
        <f>IF(N$2="","",ROUND(Handicapping!F9,0))</f>
        <v/>
      </c>
      <c r="O3" s="9" t="n"/>
      <c r="P3" s="26">
        <f>IF(P$2="","",ROUND(Handicapping!F10,0))</f>
        <v/>
      </c>
      <c r="Q3" s="9" t="n"/>
      <c r="R3" s="26">
        <f>IF(R$2="","",ROUND(Handicapping!F11,0))</f>
        <v/>
      </c>
      <c r="S3" s="9" t="n"/>
      <c r="T3" s="26">
        <f>IF(T$2="","",ROUND(Handicapping!F12,0))</f>
        <v/>
      </c>
      <c r="U3" s="9" t="n"/>
      <c r="V3" s="26">
        <f>IF(V$2="","",ROUND(Handicapping!F13,0))</f>
        <v/>
      </c>
      <c r="W3" s="9" t="n"/>
      <c r="X3" s="26">
        <f>IF(X$2="","",ROUND(Handicapping!F14,0))</f>
        <v/>
      </c>
      <c r="Y3" s="9" t="n"/>
      <c r="Z3" s="26">
        <f>IF(Z$2="","",ROUND(Handicapping!F15,0))</f>
        <v/>
      </c>
      <c r="AA3" s="9" t="n"/>
      <c r="AB3" s="26">
        <f>IF(AB$2="","",ROUND(Handicapping!F16,0))</f>
        <v/>
      </c>
      <c r="AC3" s="9" t="n"/>
      <c r="AD3" s="26">
        <f>IF(AD$2="","",ROUND(Handicapping!F17,0))</f>
        <v/>
      </c>
      <c r="AE3" s="9" t="n"/>
      <c r="AF3" s="26">
        <f>IF(AF$2="","",ROUND(Handicapping!F18,0))</f>
        <v/>
      </c>
      <c r="AG3" s="9" t="n"/>
      <c r="AH3" s="26">
        <f>IF(AH$2="","",ROUND(Handicapping!F19,0))</f>
        <v/>
      </c>
      <c r="AI3" s="9" t="n"/>
      <c r="AJ3" s="26">
        <f>IF(AJ$2="","",ROUND(Handicapping!F20,0))</f>
        <v/>
      </c>
      <c r="AK3" s="9" t="n"/>
      <c r="AL3" s="26">
        <f>IF(AL$2="","",ROUND(Handicapping!F21,0))</f>
        <v/>
      </c>
      <c r="AM3" s="9" t="n"/>
      <c r="AN3" s="26">
        <f>IF(AN$2="","",ROUND(Handicapping!F22,0))</f>
        <v/>
      </c>
      <c r="AO3" s="9" t="n"/>
      <c r="AP3" s="26">
        <f>IF(AP$2="","",ROUND(Handicapping!F23,0))</f>
        <v/>
      </c>
      <c r="AQ3" s="9" t="n"/>
      <c r="AR3" s="26">
        <f>IF(AR$2="","",ROUND(Handicapping!F24,0))</f>
        <v/>
      </c>
      <c r="AS3" s="9" t="n"/>
      <c r="AT3" s="26">
        <f>IF(AT$2="","",ROUND(Handicapping!F25,0))</f>
        <v/>
      </c>
      <c r="AU3" s="9" t="n"/>
      <c r="AV3" s="26">
        <f>IF(AV$2="","",ROUND(Handicapping!F26,0))</f>
        <v/>
      </c>
      <c r="AW3" s="9" t="n"/>
      <c r="AX3" s="26">
        <f>IF(AX$2="","",ROUND(Handicapping!F27,0))</f>
        <v/>
      </c>
      <c r="AY3" s="9" t="n"/>
      <c r="AZ3" s="26">
        <f>IF(AZ$2="","",ROUND(Handicapping!F28,0))</f>
        <v/>
      </c>
      <c r="BA3" s="9" t="n"/>
      <c r="BB3" s="26">
        <f>IF(BB$2="","",ROUND(Handicapping!F29,0))</f>
        <v/>
      </c>
      <c r="BC3" s="9" t="n"/>
      <c r="BD3" s="26">
        <f>IF(BD$2="","",ROUND(Handicapping!F30,0))</f>
        <v/>
      </c>
      <c r="BE3" s="9" t="n"/>
      <c r="BF3" s="26">
        <f>IF(BF$2="","",ROUND(Handicapping!F31,0))</f>
        <v/>
      </c>
      <c r="BG3" s="9" t="n"/>
      <c r="BH3" s="26">
        <f>IF(BH$2="","",ROUND(Handicapping!F32,0))</f>
        <v/>
      </c>
      <c r="BI3" s="9" t="n"/>
      <c r="BJ3" s="26">
        <f>IF(BJ$2="","",ROUND(Handicapping!F33,0))</f>
        <v/>
      </c>
      <c r="BK3" s="9" t="n"/>
      <c r="BL3" s="26">
        <f>IF(BL$2="","",ROUND(Handicapping!F34,0))</f>
        <v/>
      </c>
      <c r="BM3" s="9" t="n"/>
      <c r="BN3" s="26">
        <f>IF(BN$2="","",ROUND(Handicapping!F35,0))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IF(Setup!K$6="","",Setup!K$6)</f>
        <v/>
      </c>
      <c r="C5" s="27">
        <f>IF(Setup!L$6="","",Setup!L$6)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IF(Setup!K$7="","",Setup!K$7)</f>
        <v/>
      </c>
      <c r="C6" s="27">
        <f>IF(Setup!L$7="","",Setup!L$7)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IF(Setup!K$8="","",Setup!K$8)</f>
        <v/>
      </c>
      <c r="C7" s="27">
        <f>IF(Setup!L$8="","",Setup!L$8)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IF(Setup!K$9="","",Setup!K$9)</f>
        <v/>
      </c>
      <c r="C8" s="27">
        <f>IF(Setup!L$9="","",Setup!L$9)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IF(Setup!K$10="","",Setup!K$10)</f>
        <v/>
      </c>
      <c r="C9" s="27">
        <f>IF(Setup!L$10="","",Setup!L$10)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IF(Setup!K$11="","",Setup!K$11)</f>
        <v/>
      </c>
      <c r="C10" s="27">
        <f>IF(Setup!L$11="","",Setup!L$11)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IF(Setup!K$12="","",Setup!K$12)</f>
        <v/>
      </c>
      <c r="C11" s="27">
        <f>IF(Setup!L$12="","",Setup!L$12)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IF(Setup!K$13="","",Setup!K$13)</f>
        <v/>
      </c>
      <c r="C12" s="27">
        <f>IF(Setup!L$13="","",Setup!L$13)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IF(Setup!K$14="","",Setup!K$14)</f>
        <v/>
      </c>
      <c r="C13" s="27">
        <f>IF(Setup!L$14="","",Setup!L$14)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IF(Setup!K$15="","",Setup!K$15)</f>
        <v/>
      </c>
      <c r="C15" s="27">
        <f>IF(Setup!L$15="","",Setup!L$15)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IF(Setup!K$16="","",Setup!K$16)</f>
        <v/>
      </c>
      <c r="C16" s="27">
        <f>IF(Setup!L$16="","",Setup!L$16)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IF(Setup!K$17="","",Setup!K$17)</f>
        <v/>
      </c>
      <c r="C17" s="27">
        <f>IF(Setup!L$17="","",Setup!L$17)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IF(Setup!K$18="","",Setup!K$18)</f>
        <v/>
      </c>
      <c r="C18" s="27">
        <f>IF(Setup!L$18="","",Setup!L$18)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IF(Setup!K$19="","",Setup!K$19)</f>
        <v/>
      </c>
      <c r="C19" s="27">
        <f>IF(Setup!L$19="","",Setup!L$19)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IF(Setup!K$20="","",Setup!K$20)</f>
        <v/>
      </c>
      <c r="C20" s="27">
        <f>IF(Setup!L$20="","",Setup!L$20)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IF(Setup!K$21="","",Setup!K$21)</f>
        <v/>
      </c>
      <c r="C21" s="27">
        <f>IF(Setup!L$21="","",Setup!L$21)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IF(Setup!K$22="","",Setup!K$22)</f>
        <v/>
      </c>
      <c r="C22" s="27">
        <f>IF(Setup!L$22="","",Setup!L$22)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IF(Setup!K$23="","",Setup!K$23)</f>
        <v/>
      </c>
      <c r="C23" s="27">
        <f>IF(Setup!L$23="","",Setup!L$23)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4</t>
        </is>
      </c>
      <c r="B1" s="1">
        <f>IF(Setup!M$4="","(enter course on Setup sheet)",Setup!M$4)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IF(D$2="","",ROUND(Handicapping!G4,0))</f>
        <v/>
      </c>
      <c r="E3" s="9" t="n"/>
      <c r="F3" s="26">
        <f>IF(F$2="","",ROUND(Handicapping!G5,0))</f>
        <v/>
      </c>
      <c r="G3" s="9" t="n"/>
      <c r="H3" s="26">
        <f>IF(H$2="","",ROUND(Handicapping!G6,0))</f>
        <v/>
      </c>
      <c r="I3" s="9" t="n"/>
      <c r="J3" s="26">
        <f>IF(J$2="","",ROUND(Handicapping!G7,0))</f>
        <v/>
      </c>
      <c r="K3" s="9" t="n"/>
      <c r="L3" s="26">
        <f>IF(L$2="","",ROUND(Handicapping!G8,0))</f>
        <v/>
      </c>
      <c r="M3" s="9" t="n"/>
      <c r="N3" s="26">
        <f>IF(N$2="","",ROUND(Handicapping!G9,0))</f>
        <v/>
      </c>
      <c r="O3" s="9" t="n"/>
      <c r="P3" s="26">
        <f>IF(P$2="","",ROUND(Handicapping!G10,0))</f>
        <v/>
      </c>
      <c r="Q3" s="9" t="n"/>
      <c r="R3" s="26">
        <f>IF(R$2="","",ROUND(Handicapping!G11,0))</f>
        <v/>
      </c>
      <c r="S3" s="9" t="n"/>
      <c r="T3" s="26">
        <f>IF(T$2="","",ROUND(Handicapping!G12,0))</f>
        <v/>
      </c>
      <c r="U3" s="9" t="n"/>
      <c r="V3" s="26">
        <f>IF(V$2="","",ROUND(Handicapping!G13,0))</f>
        <v/>
      </c>
      <c r="W3" s="9" t="n"/>
      <c r="X3" s="26">
        <f>IF(X$2="","",ROUND(Handicapping!G14,0))</f>
        <v/>
      </c>
      <c r="Y3" s="9" t="n"/>
      <c r="Z3" s="26">
        <f>IF(Z$2="","",ROUND(Handicapping!G15,0))</f>
        <v/>
      </c>
      <c r="AA3" s="9" t="n"/>
      <c r="AB3" s="26">
        <f>IF(AB$2="","",ROUND(Handicapping!G16,0))</f>
        <v/>
      </c>
      <c r="AC3" s="9" t="n"/>
      <c r="AD3" s="26">
        <f>IF(AD$2="","",ROUND(Handicapping!G17,0))</f>
        <v/>
      </c>
      <c r="AE3" s="9" t="n"/>
      <c r="AF3" s="26">
        <f>IF(AF$2="","",ROUND(Handicapping!G18,0))</f>
        <v/>
      </c>
      <c r="AG3" s="9" t="n"/>
      <c r="AH3" s="26">
        <f>IF(AH$2="","",ROUND(Handicapping!G19,0))</f>
        <v/>
      </c>
      <c r="AI3" s="9" t="n"/>
      <c r="AJ3" s="26">
        <f>IF(AJ$2="","",ROUND(Handicapping!G20,0))</f>
        <v/>
      </c>
      <c r="AK3" s="9" t="n"/>
      <c r="AL3" s="26">
        <f>IF(AL$2="","",ROUND(Handicapping!G21,0))</f>
        <v/>
      </c>
      <c r="AM3" s="9" t="n"/>
      <c r="AN3" s="26">
        <f>IF(AN$2="","",ROUND(Handicapping!G22,0))</f>
        <v/>
      </c>
      <c r="AO3" s="9" t="n"/>
      <c r="AP3" s="26">
        <f>IF(AP$2="","",ROUND(Handicapping!G23,0))</f>
        <v/>
      </c>
      <c r="AQ3" s="9" t="n"/>
      <c r="AR3" s="26">
        <f>IF(AR$2="","",ROUND(Handicapping!G24,0))</f>
        <v/>
      </c>
      <c r="AS3" s="9" t="n"/>
      <c r="AT3" s="26">
        <f>IF(AT$2="","",ROUND(Handicapping!G25,0))</f>
        <v/>
      </c>
      <c r="AU3" s="9" t="n"/>
      <c r="AV3" s="26">
        <f>IF(AV$2="","",ROUND(Handicapping!G26,0))</f>
        <v/>
      </c>
      <c r="AW3" s="9" t="n"/>
      <c r="AX3" s="26">
        <f>IF(AX$2="","",ROUND(Handicapping!G27,0))</f>
        <v/>
      </c>
      <c r="AY3" s="9" t="n"/>
      <c r="AZ3" s="26">
        <f>IF(AZ$2="","",ROUND(Handicapping!G28,0))</f>
        <v/>
      </c>
      <c r="BA3" s="9" t="n"/>
      <c r="BB3" s="26">
        <f>IF(BB$2="","",ROUND(Handicapping!G29,0))</f>
        <v/>
      </c>
      <c r="BC3" s="9" t="n"/>
      <c r="BD3" s="26">
        <f>IF(BD$2="","",ROUND(Handicapping!G30,0))</f>
        <v/>
      </c>
      <c r="BE3" s="9" t="n"/>
      <c r="BF3" s="26">
        <f>IF(BF$2="","",ROUND(Handicapping!G31,0))</f>
        <v/>
      </c>
      <c r="BG3" s="9" t="n"/>
      <c r="BH3" s="26">
        <f>IF(BH$2="","",ROUND(Handicapping!G32,0))</f>
        <v/>
      </c>
      <c r="BI3" s="9" t="n"/>
      <c r="BJ3" s="26">
        <f>IF(BJ$2="","",ROUND(Handicapping!G33,0))</f>
        <v/>
      </c>
      <c r="BK3" s="9" t="n"/>
      <c r="BL3" s="26">
        <f>IF(BL$2="","",ROUND(Handicapping!G34,0))</f>
        <v/>
      </c>
      <c r="BM3" s="9" t="n"/>
      <c r="BN3" s="26">
        <f>IF(BN$2="","",ROUND(Handicapping!G35,0))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IF(Setup!M$6="","",Setup!M$6)</f>
        <v/>
      </c>
      <c r="C5" s="27">
        <f>IF(Setup!N$6="","",Setup!N$6)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IF(Setup!M$7="","",Setup!M$7)</f>
        <v/>
      </c>
      <c r="C6" s="27">
        <f>IF(Setup!N$7="","",Setup!N$7)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IF(Setup!M$8="","",Setup!M$8)</f>
        <v/>
      </c>
      <c r="C7" s="27">
        <f>IF(Setup!N$8="","",Setup!N$8)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IF(Setup!M$9="","",Setup!M$9)</f>
        <v/>
      </c>
      <c r="C8" s="27">
        <f>IF(Setup!N$9="","",Setup!N$9)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IF(Setup!M$10="","",Setup!M$10)</f>
        <v/>
      </c>
      <c r="C9" s="27">
        <f>IF(Setup!N$10="","",Setup!N$10)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IF(Setup!M$11="","",Setup!M$11)</f>
        <v/>
      </c>
      <c r="C10" s="27">
        <f>IF(Setup!N$11="","",Setup!N$11)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IF(Setup!M$12="","",Setup!M$12)</f>
        <v/>
      </c>
      <c r="C11" s="27">
        <f>IF(Setup!N$12="","",Setup!N$12)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IF(Setup!M$13="","",Setup!M$13)</f>
        <v/>
      </c>
      <c r="C12" s="27">
        <f>IF(Setup!N$13="","",Setup!N$13)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IF(Setup!M$14="","",Setup!M$14)</f>
        <v/>
      </c>
      <c r="C13" s="27">
        <f>IF(Setup!N$14="","",Setup!N$14)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IF(Setup!M$15="","",Setup!M$15)</f>
        <v/>
      </c>
      <c r="C15" s="27">
        <f>IF(Setup!N$15="","",Setup!N$15)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IF(Setup!M$16="","",Setup!M$16)</f>
        <v/>
      </c>
      <c r="C16" s="27">
        <f>IF(Setup!N$16="","",Setup!N$16)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IF(Setup!M$17="","",Setup!M$17)</f>
        <v/>
      </c>
      <c r="C17" s="27">
        <f>IF(Setup!N$17="","",Setup!N$17)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IF(Setup!M$18="","",Setup!M$18)</f>
        <v/>
      </c>
      <c r="C18" s="27">
        <f>IF(Setup!N$18="","",Setup!N$18)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IF(Setup!M$19="","",Setup!M$19)</f>
        <v/>
      </c>
      <c r="C19" s="27">
        <f>IF(Setup!N$19="","",Setup!N$19)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IF(Setup!M$20="","",Setup!M$20)</f>
        <v/>
      </c>
      <c r="C20" s="27">
        <f>IF(Setup!N$20="","",Setup!N$20)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IF(Setup!M$21="","",Setup!M$21)</f>
        <v/>
      </c>
      <c r="C21" s="27">
        <f>IF(Setup!N$21="","",Setup!N$21)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IF(Setup!M$22="","",Setup!M$22)</f>
        <v/>
      </c>
      <c r="C22" s="27">
        <f>IF(Setup!N$22="","",Setup!N$22)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IF(Setup!M$23="","",Setup!M$23)</f>
        <v/>
      </c>
      <c r="C23" s="27">
        <f>IF(Setup!N$23="","",Setup!N$23)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5</t>
        </is>
      </c>
      <c r="B1" s="1">
        <f>IF(Setup!O$4="","(enter course on Setup sheet)",Setup!O$4)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IF(D$2="","",ROUND(Handicapping!H4,0))</f>
        <v/>
      </c>
      <c r="E3" s="9" t="n"/>
      <c r="F3" s="26">
        <f>IF(F$2="","",ROUND(Handicapping!H5,0))</f>
        <v/>
      </c>
      <c r="G3" s="9" t="n"/>
      <c r="H3" s="26">
        <f>IF(H$2="","",ROUND(Handicapping!H6,0))</f>
        <v/>
      </c>
      <c r="I3" s="9" t="n"/>
      <c r="J3" s="26">
        <f>IF(J$2="","",ROUND(Handicapping!H7,0))</f>
        <v/>
      </c>
      <c r="K3" s="9" t="n"/>
      <c r="L3" s="26">
        <f>IF(L$2="","",ROUND(Handicapping!H8,0))</f>
        <v/>
      </c>
      <c r="M3" s="9" t="n"/>
      <c r="N3" s="26">
        <f>IF(N$2="","",ROUND(Handicapping!H9,0))</f>
        <v/>
      </c>
      <c r="O3" s="9" t="n"/>
      <c r="P3" s="26">
        <f>IF(P$2="","",ROUND(Handicapping!H10,0))</f>
        <v/>
      </c>
      <c r="Q3" s="9" t="n"/>
      <c r="R3" s="26">
        <f>IF(R$2="","",ROUND(Handicapping!H11,0))</f>
        <v/>
      </c>
      <c r="S3" s="9" t="n"/>
      <c r="T3" s="26">
        <f>IF(T$2="","",ROUND(Handicapping!H12,0))</f>
        <v/>
      </c>
      <c r="U3" s="9" t="n"/>
      <c r="V3" s="26">
        <f>IF(V$2="","",ROUND(Handicapping!H13,0))</f>
        <v/>
      </c>
      <c r="W3" s="9" t="n"/>
      <c r="X3" s="26">
        <f>IF(X$2="","",ROUND(Handicapping!H14,0))</f>
        <v/>
      </c>
      <c r="Y3" s="9" t="n"/>
      <c r="Z3" s="26">
        <f>IF(Z$2="","",ROUND(Handicapping!H15,0))</f>
        <v/>
      </c>
      <c r="AA3" s="9" t="n"/>
      <c r="AB3" s="26">
        <f>IF(AB$2="","",ROUND(Handicapping!H16,0))</f>
        <v/>
      </c>
      <c r="AC3" s="9" t="n"/>
      <c r="AD3" s="26">
        <f>IF(AD$2="","",ROUND(Handicapping!H17,0))</f>
        <v/>
      </c>
      <c r="AE3" s="9" t="n"/>
      <c r="AF3" s="26">
        <f>IF(AF$2="","",ROUND(Handicapping!H18,0))</f>
        <v/>
      </c>
      <c r="AG3" s="9" t="n"/>
      <c r="AH3" s="26">
        <f>IF(AH$2="","",ROUND(Handicapping!H19,0))</f>
        <v/>
      </c>
      <c r="AI3" s="9" t="n"/>
      <c r="AJ3" s="26">
        <f>IF(AJ$2="","",ROUND(Handicapping!H20,0))</f>
        <v/>
      </c>
      <c r="AK3" s="9" t="n"/>
      <c r="AL3" s="26">
        <f>IF(AL$2="","",ROUND(Handicapping!H21,0))</f>
        <v/>
      </c>
      <c r="AM3" s="9" t="n"/>
      <c r="AN3" s="26">
        <f>IF(AN$2="","",ROUND(Handicapping!H22,0))</f>
        <v/>
      </c>
      <c r="AO3" s="9" t="n"/>
      <c r="AP3" s="26">
        <f>IF(AP$2="","",ROUND(Handicapping!H23,0))</f>
        <v/>
      </c>
      <c r="AQ3" s="9" t="n"/>
      <c r="AR3" s="26">
        <f>IF(AR$2="","",ROUND(Handicapping!H24,0))</f>
        <v/>
      </c>
      <c r="AS3" s="9" t="n"/>
      <c r="AT3" s="26">
        <f>IF(AT$2="","",ROUND(Handicapping!H25,0))</f>
        <v/>
      </c>
      <c r="AU3" s="9" t="n"/>
      <c r="AV3" s="26">
        <f>IF(AV$2="","",ROUND(Handicapping!H26,0))</f>
        <v/>
      </c>
      <c r="AW3" s="9" t="n"/>
      <c r="AX3" s="26">
        <f>IF(AX$2="","",ROUND(Handicapping!H27,0))</f>
        <v/>
      </c>
      <c r="AY3" s="9" t="n"/>
      <c r="AZ3" s="26">
        <f>IF(AZ$2="","",ROUND(Handicapping!H28,0))</f>
        <v/>
      </c>
      <c r="BA3" s="9" t="n"/>
      <c r="BB3" s="26">
        <f>IF(BB$2="","",ROUND(Handicapping!H29,0))</f>
        <v/>
      </c>
      <c r="BC3" s="9" t="n"/>
      <c r="BD3" s="26">
        <f>IF(BD$2="","",ROUND(Handicapping!H30,0))</f>
        <v/>
      </c>
      <c r="BE3" s="9" t="n"/>
      <c r="BF3" s="26">
        <f>IF(BF$2="","",ROUND(Handicapping!H31,0))</f>
        <v/>
      </c>
      <c r="BG3" s="9" t="n"/>
      <c r="BH3" s="26">
        <f>IF(BH$2="","",ROUND(Handicapping!H32,0))</f>
        <v/>
      </c>
      <c r="BI3" s="9" t="n"/>
      <c r="BJ3" s="26">
        <f>IF(BJ$2="","",ROUND(Handicapping!H33,0))</f>
        <v/>
      </c>
      <c r="BK3" s="9" t="n"/>
      <c r="BL3" s="26">
        <f>IF(BL$2="","",ROUND(Handicapping!H34,0))</f>
        <v/>
      </c>
      <c r="BM3" s="9" t="n"/>
      <c r="BN3" s="26">
        <f>IF(BN$2="","",ROUND(Handicapping!H35,0))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IF(Setup!O$6="","",Setup!O$6)</f>
        <v/>
      </c>
      <c r="C5" s="27">
        <f>IF(Setup!P$6="","",Setup!P$6)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IF(Setup!O$7="","",Setup!O$7)</f>
        <v/>
      </c>
      <c r="C6" s="27">
        <f>IF(Setup!P$7="","",Setup!P$7)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IF(Setup!O$8="","",Setup!O$8)</f>
        <v/>
      </c>
      <c r="C7" s="27">
        <f>IF(Setup!P$8="","",Setup!P$8)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IF(Setup!O$9="","",Setup!O$9)</f>
        <v/>
      </c>
      <c r="C8" s="27">
        <f>IF(Setup!P$9="","",Setup!P$9)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IF(Setup!O$10="","",Setup!O$10)</f>
        <v/>
      </c>
      <c r="C9" s="27">
        <f>IF(Setup!P$10="","",Setup!P$10)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IF(Setup!O$11="","",Setup!O$11)</f>
        <v/>
      </c>
      <c r="C10" s="27">
        <f>IF(Setup!P$11="","",Setup!P$11)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IF(Setup!O$12="","",Setup!O$12)</f>
        <v/>
      </c>
      <c r="C11" s="27">
        <f>IF(Setup!P$12="","",Setup!P$12)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IF(Setup!O$13="","",Setup!O$13)</f>
        <v/>
      </c>
      <c r="C12" s="27">
        <f>IF(Setup!P$13="","",Setup!P$13)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IF(Setup!O$14="","",Setup!O$14)</f>
        <v/>
      </c>
      <c r="C13" s="27">
        <f>IF(Setup!P$14="","",Setup!P$14)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IF(Setup!O$15="","",Setup!O$15)</f>
        <v/>
      </c>
      <c r="C15" s="27">
        <f>IF(Setup!P$15="","",Setup!P$15)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IF(Setup!O$16="","",Setup!O$16)</f>
        <v/>
      </c>
      <c r="C16" s="27">
        <f>IF(Setup!P$16="","",Setup!P$16)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IF(Setup!O$17="","",Setup!O$17)</f>
        <v/>
      </c>
      <c r="C17" s="27">
        <f>IF(Setup!P$17="","",Setup!P$17)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IF(Setup!O$18="","",Setup!O$18)</f>
        <v/>
      </c>
      <c r="C18" s="27">
        <f>IF(Setup!P$18="","",Setup!P$18)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IF(Setup!O$19="","",Setup!O$19)</f>
        <v/>
      </c>
      <c r="C19" s="27">
        <f>IF(Setup!P$19="","",Setup!P$19)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IF(Setup!O$20="","",Setup!O$20)</f>
        <v/>
      </c>
      <c r="C20" s="27">
        <f>IF(Setup!P$20="","",Setup!P$20)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IF(Setup!O$21="","",Setup!O$21)</f>
        <v/>
      </c>
      <c r="C21" s="27">
        <f>IF(Setup!P$21="","",Setup!P$21)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IF(Setup!O$22="","",Setup!O$22)</f>
        <v/>
      </c>
      <c r="C22" s="27">
        <f>IF(Setup!P$22="","",Setup!P$22)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IF(Setup!O$23="","",Setup!O$23)</f>
        <v/>
      </c>
      <c r="C23" s="27">
        <f>IF(Setup!P$23="","",Setup!P$23)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6</t>
        </is>
      </c>
      <c r="B1" s="1">
        <f>IF(Setup!Q$4="","(enter course on Setup sheet)",Setup!Q$4)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IF(D$2="","",ROUND(Handicapping!I4,0))</f>
        <v/>
      </c>
      <c r="E3" s="9" t="n"/>
      <c r="F3" s="26">
        <f>IF(F$2="","",ROUND(Handicapping!I5,0))</f>
        <v/>
      </c>
      <c r="G3" s="9" t="n"/>
      <c r="H3" s="26">
        <f>IF(H$2="","",ROUND(Handicapping!I6,0))</f>
        <v/>
      </c>
      <c r="I3" s="9" t="n"/>
      <c r="J3" s="26">
        <f>IF(J$2="","",ROUND(Handicapping!I7,0))</f>
        <v/>
      </c>
      <c r="K3" s="9" t="n"/>
      <c r="L3" s="26">
        <f>IF(L$2="","",ROUND(Handicapping!I8,0))</f>
        <v/>
      </c>
      <c r="M3" s="9" t="n"/>
      <c r="N3" s="26">
        <f>IF(N$2="","",ROUND(Handicapping!I9,0))</f>
        <v/>
      </c>
      <c r="O3" s="9" t="n"/>
      <c r="P3" s="26">
        <f>IF(P$2="","",ROUND(Handicapping!I10,0))</f>
        <v/>
      </c>
      <c r="Q3" s="9" t="n"/>
      <c r="R3" s="26">
        <f>IF(R$2="","",ROUND(Handicapping!I11,0))</f>
        <v/>
      </c>
      <c r="S3" s="9" t="n"/>
      <c r="T3" s="26">
        <f>IF(T$2="","",ROUND(Handicapping!I12,0))</f>
        <v/>
      </c>
      <c r="U3" s="9" t="n"/>
      <c r="V3" s="26">
        <f>IF(V$2="","",ROUND(Handicapping!I13,0))</f>
        <v/>
      </c>
      <c r="W3" s="9" t="n"/>
      <c r="X3" s="26">
        <f>IF(X$2="","",ROUND(Handicapping!I14,0))</f>
        <v/>
      </c>
      <c r="Y3" s="9" t="n"/>
      <c r="Z3" s="26">
        <f>IF(Z$2="","",ROUND(Handicapping!I15,0))</f>
        <v/>
      </c>
      <c r="AA3" s="9" t="n"/>
      <c r="AB3" s="26">
        <f>IF(AB$2="","",ROUND(Handicapping!I16,0))</f>
        <v/>
      </c>
      <c r="AC3" s="9" t="n"/>
      <c r="AD3" s="26">
        <f>IF(AD$2="","",ROUND(Handicapping!I17,0))</f>
        <v/>
      </c>
      <c r="AE3" s="9" t="n"/>
      <c r="AF3" s="26">
        <f>IF(AF$2="","",ROUND(Handicapping!I18,0))</f>
        <v/>
      </c>
      <c r="AG3" s="9" t="n"/>
      <c r="AH3" s="26">
        <f>IF(AH$2="","",ROUND(Handicapping!I19,0))</f>
        <v/>
      </c>
      <c r="AI3" s="9" t="n"/>
      <c r="AJ3" s="26">
        <f>IF(AJ$2="","",ROUND(Handicapping!I20,0))</f>
        <v/>
      </c>
      <c r="AK3" s="9" t="n"/>
      <c r="AL3" s="26">
        <f>IF(AL$2="","",ROUND(Handicapping!I21,0))</f>
        <v/>
      </c>
      <c r="AM3" s="9" t="n"/>
      <c r="AN3" s="26">
        <f>IF(AN$2="","",ROUND(Handicapping!I22,0))</f>
        <v/>
      </c>
      <c r="AO3" s="9" t="n"/>
      <c r="AP3" s="26">
        <f>IF(AP$2="","",ROUND(Handicapping!I23,0))</f>
        <v/>
      </c>
      <c r="AQ3" s="9" t="n"/>
      <c r="AR3" s="26">
        <f>IF(AR$2="","",ROUND(Handicapping!I24,0))</f>
        <v/>
      </c>
      <c r="AS3" s="9" t="n"/>
      <c r="AT3" s="26">
        <f>IF(AT$2="","",ROUND(Handicapping!I25,0))</f>
        <v/>
      </c>
      <c r="AU3" s="9" t="n"/>
      <c r="AV3" s="26">
        <f>IF(AV$2="","",ROUND(Handicapping!I26,0))</f>
        <v/>
      </c>
      <c r="AW3" s="9" t="n"/>
      <c r="AX3" s="26">
        <f>IF(AX$2="","",ROUND(Handicapping!I27,0))</f>
        <v/>
      </c>
      <c r="AY3" s="9" t="n"/>
      <c r="AZ3" s="26">
        <f>IF(AZ$2="","",ROUND(Handicapping!I28,0))</f>
        <v/>
      </c>
      <c r="BA3" s="9" t="n"/>
      <c r="BB3" s="26">
        <f>IF(BB$2="","",ROUND(Handicapping!I29,0))</f>
        <v/>
      </c>
      <c r="BC3" s="9" t="n"/>
      <c r="BD3" s="26">
        <f>IF(BD$2="","",ROUND(Handicapping!I30,0))</f>
        <v/>
      </c>
      <c r="BE3" s="9" t="n"/>
      <c r="BF3" s="26">
        <f>IF(BF$2="","",ROUND(Handicapping!I31,0))</f>
        <v/>
      </c>
      <c r="BG3" s="9" t="n"/>
      <c r="BH3" s="26">
        <f>IF(BH$2="","",ROUND(Handicapping!I32,0))</f>
        <v/>
      </c>
      <c r="BI3" s="9" t="n"/>
      <c r="BJ3" s="26">
        <f>IF(BJ$2="","",ROUND(Handicapping!I33,0))</f>
        <v/>
      </c>
      <c r="BK3" s="9" t="n"/>
      <c r="BL3" s="26">
        <f>IF(BL$2="","",ROUND(Handicapping!I34,0))</f>
        <v/>
      </c>
      <c r="BM3" s="9" t="n"/>
      <c r="BN3" s="26">
        <f>IF(BN$2="","",ROUND(Handicapping!I35,0))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IF(Setup!Q$6="","",Setup!Q$6)</f>
        <v/>
      </c>
      <c r="C5" s="27">
        <f>IF(Setup!R$6="","",Setup!R$6)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IF(Setup!Q$7="","",Setup!Q$7)</f>
        <v/>
      </c>
      <c r="C6" s="27">
        <f>IF(Setup!R$7="","",Setup!R$7)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IF(Setup!Q$8="","",Setup!Q$8)</f>
        <v/>
      </c>
      <c r="C7" s="27">
        <f>IF(Setup!R$8="","",Setup!R$8)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IF(Setup!Q$9="","",Setup!Q$9)</f>
        <v/>
      </c>
      <c r="C8" s="27">
        <f>IF(Setup!R$9="","",Setup!R$9)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IF(Setup!Q$10="","",Setup!Q$10)</f>
        <v/>
      </c>
      <c r="C9" s="27">
        <f>IF(Setup!R$10="","",Setup!R$10)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IF(Setup!Q$11="","",Setup!Q$11)</f>
        <v/>
      </c>
      <c r="C10" s="27">
        <f>IF(Setup!R$11="","",Setup!R$11)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IF(Setup!Q$12="","",Setup!Q$12)</f>
        <v/>
      </c>
      <c r="C11" s="27">
        <f>IF(Setup!R$12="","",Setup!R$12)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IF(Setup!Q$13="","",Setup!Q$13)</f>
        <v/>
      </c>
      <c r="C12" s="27">
        <f>IF(Setup!R$13="","",Setup!R$13)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IF(Setup!Q$14="","",Setup!Q$14)</f>
        <v/>
      </c>
      <c r="C13" s="27">
        <f>IF(Setup!R$14="","",Setup!R$14)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IF(Setup!Q$15="","",Setup!Q$15)</f>
        <v/>
      </c>
      <c r="C15" s="27">
        <f>IF(Setup!R$15="","",Setup!R$15)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IF(Setup!Q$16="","",Setup!Q$16)</f>
        <v/>
      </c>
      <c r="C16" s="27">
        <f>IF(Setup!R$16="","",Setup!R$16)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IF(Setup!Q$17="","",Setup!Q$17)</f>
        <v/>
      </c>
      <c r="C17" s="27">
        <f>IF(Setup!R$17="","",Setup!R$17)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IF(Setup!Q$18="","",Setup!Q$18)</f>
        <v/>
      </c>
      <c r="C18" s="27">
        <f>IF(Setup!R$18="","",Setup!R$18)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IF(Setup!Q$19="","",Setup!Q$19)</f>
        <v/>
      </c>
      <c r="C19" s="27">
        <f>IF(Setup!R$19="","",Setup!R$19)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IF(Setup!Q$20="","",Setup!Q$20)</f>
        <v/>
      </c>
      <c r="C20" s="27">
        <f>IF(Setup!R$20="","",Setup!R$20)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IF(Setup!Q$21="","",Setup!Q$21)</f>
        <v/>
      </c>
      <c r="C21" s="27">
        <f>IF(Setup!R$21="","",Setup!R$21)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IF(Setup!Q$22="","",Setup!Q$22)</f>
        <v/>
      </c>
      <c r="C22" s="27">
        <f>IF(Setup!R$22="","",Setup!R$22)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IF(Setup!Q$23="","",Setup!Q$23)</f>
        <v/>
      </c>
      <c r="C23" s="27">
        <f>IF(Setup!R$23="","",Setup!R$23)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7</t>
        </is>
      </c>
      <c r="B1" s="1">
        <f>IF(Setup!S$4="","(enter course on Setup sheet)",Setup!S$4)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IF(D$2="","",ROUND(Handicapping!J4,0))</f>
        <v/>
      </c>
      <c r="E3" s="9" t="n"/>
      <c r="F3" s="26">
        <f>IF(F$2="","",ROUND(Handicapping!J5,0))</f>
        <v/>
      </c>
      <c r="G3" s="9" t="n"/>
      <c r="H3" s="26">
        <f>IF(H$2="","",ROUND(Handicapping!J6,0))</f>
        <v/>
      </c>
      <c r="I3" s="9" t="n"/>
      <c r="J3" s="26">
        <f>IF(J$2="","",ROUND(Handicapping!J7,0))</f>
        <v/>
      </c>
      <c r="K3" s="9" t="n"/>
      <c r="L3" s="26">
        <f>IF(L$2="","",ROUND(Handicapping!J8,0))</f>
        <v/>
      </c>
      <c r="M3" s="9" t="n"/>
      <c r="N3" s="26">
        <f>IF(N$2="","",ROUND(Handicapping!J9,0))</f>
        <v/>
      </c>
      <c r="O3" s="9" t="n"/>
      <c r="P3" s="26">
        <f>IF(P$2="","",ROUND(Handicapping!J10,0))</f>
        <v/>
      </c>
      <c r="Q3" s="9" t="n"/>
      <c r="R3" s="26">
        <f>IF(R$2="","",ROUND(Handicapping!J11,0))</f>
        <v/>
      </c>
      <c r="S3" s="9" t="n"/>
      <c r="T3" s="26">
        <f>IF(T$2="","",ROUND(Handicapping!J12,0))</f>
        <v/>
      </c>
      <c r="U3" s="9" t="n"/>
      <c r="V3" s="26">
        <f>IF(V$2="","",ROUND(Handicapping!J13,0))</f>
        <v/>
      </c>
      <c r="W3" s="9" t="n"/>
      <c r="X3" s="26">
        <f>IF(X$2="","",ROUND(Handicapping!J14,0))</f>
        <v/>
      </c>
      <c r="Y3" s="9" t="n"/>
      <c r="Z3" s="26">
        <f>IF(Z$2="","",ROUND(Handicapping!J15,0))</f>
        <v/>
      </c>
      <c r="AA3" s="9" t="n"/>
      <c r="AB3" s="26">
        <f>IF(AB$2="","",ROUND(Handicapping!J16,0))</f>
        <v/>
      </c>
      <c r="AC3" s="9" t="n"/>
      <c r="AD3" s="26">
        <f>IF(AD$2="","",ROUND(Handicapping!J17,0))</f>
        <v/>
      </c>
      <c r="AE3" s="9" t="n"/>
      <c r="AF3" s="26">
        <f>IF(AF$2="","",ROUND(Handicapping!J18,0))</f>
        <v/>
      </c>
      <c r="AG3" s="9" t="n"/>
      <c r="AH3" s="26">
        <f>IF(AH$2="","",ROUND(Handicapping!J19,0))</f>
        <v/>
      </c>
      <c r="AI3" s="9" t="n"/>
      <c r="AJ3" s="26">
        <f>IF(AJ$2="","",ROUND(Handicapping!J20,0))</f>
        <v/>
      </c>
      <c r="AK3" s="9" t="n"/>
      <c r="AL3" s="26">
        <f>IF(AL$2="","",ROUND(Handicapping!J21,0))</f>
        <v/>
      </c>
      <c r="AM3" s="9" t="n"/>
      <c r="AN3" s="26">
        <f>IF(AN$2="","",ROUND(Handicapping!J22,0))</f>
        <v/>
      </c>
      <c r="AO3" s="9" t="n"/>
      <c r="AP3" s="26">
        <f>IF(AP$2="","",ROUND(Handicapping!J23,0))</f>
        <v/>
      </c>
      <c r="AQ3" s="9" t="n"/>
      <c r="AR3" s="26">
        <f>IF(AR$2="","",ROUND(Handicapping!J24,0))</f>
        <v/>
      </c>
      <c r="AS3" s="9" t="n"/>
      <c r="AT3" s="26">
        <f>IF(AT$2="","",ROUND(Handicapping!J25,0))</f>
        <v/>
      </c>
      <c r="AU3" s="9" t="n"/>
      <c r="AV3" s="26">
        <f>IF(AV$2="","",ROUND(Handicapping!J26,0))</f>
        <v/>
      </c>
      <c r="AW3" s="9" t="n"/>
      <c r="AX3" s="26">
        <f>IF(AX$2="","",ROUND(Handicapping!J27,0))</f>
        <v/>
      </c>
      <c r="AY3" s="9" t="n"/>
      <c r="AZ3" s="26">
        <f>IF(AZ$2="","",ROUND(Handicapping!J28,0))</f>
        <v/>
      </c>
      <c r="BA3" s="9" t="n"/>
      <c r="BB3" s="26">
        <f>IF(BB$2="","",ROUND(Handicapping!J29,0))</f>
        <v/>
      </c>
      <c r="BC3" s="9" t="n"/>
      <c r="BD3" s="26">
        <f>IF(BD$2="","",ROUND(Handicapping!J30,0))</f>
        <v/>
      </c>
      <c r="BE3" s="9" t="n"/>
      <c r="BF3" s="26">
        <f>IF(BF$2="","",ROUND(Handicapping!J31,0))</f>
        <v/>
      </c>
      <c r="BG3" s="9" t="n"/>
      <c r="BH3" s="26">
        <f>IF(BH$2="","",ROUND(Handicapping!J32,0))</f>
        <v/>
      </c>
      <c r="BI3" s="9" t="n"/>
      <c r="BJ3" s="26">
        <f>IF(BJ$2="","",ROUND(Handicapping!J33,0))</f>
        <v/>
      </c>
      <c r="BK3" s="9" t="n"/>
      <c r="BL3" s="26">
        <f>IF(BL$2="","",ROUND(Handicapping!J34,0))</f>
        <v/>
      </c>
      <c r="BM3" s="9" t="n"/>
      <c r="BN3" s="26">
        <f>IF(BN$2="","",ROUND(Handicapping!J35,0))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IF(Setup!S$6="","",Setup!S$6)</f>
        <v/>
      </c>
      <c r="C5" s="27">
        <f>IF(Setup!T$6="","",Setup!T$6)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IF(Setup!S$7="","",Setup!S$7)</f>
        <v/>
      </c>
      <c r="C6" s="27">
        <f>IF(Setup!T$7="","",Setup!T$7)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IF(Setup!S$8="","",Setup!S$8)</f>
        <v/>
      </c>
      <c r="C7" s="27">
        <f>IF(Setup!T$8="","",Setup!T$8)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IF(Setup!S$9="","",Setup!S$9)</f>
        <v/>
      </c>
      <c r="C8" s="27">
        <f>IF(Setup!T$9="","",Setup!T$9)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IF(Setup!S$10="","",Setup!S$10)</f>
        <v/>
      </c>
      <c r="C9" s="27">
        <f>IF(Setup!T$10="","",Setup!T$10)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IF(Setup!S$11="","",Setup!S$11)</f>
        <v/>
      </c>
      <c r="C10" s="27">
        <f>IF(Setup!T$11="","",Setup!T$11)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IF(Setup!S$12="","",Setup!S$12)</f>
        <v/>
      </c>
      <c r="C11" s="27">
        <f>IF(Setup!T$12="","",Setup!T$12)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IF(Setup!S$13="","",Setup!S$13)</f>
        <v/>
      </c>
      <c r="C12" s="27">
        <f>IF(Setup!T$13="","",Setup!T$13)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IF(Setup!S$14="","",Setup!S$14)</f>
        <v/>
      </c>
      <c r="C13" s="27">
        <f>IF(Setup!T$14="","",Setup!T$14)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IF(Setup!S$15="","",Setup!S$15)</f>
        <v/>
      </c>
      <c r="C15" s="27">
        <f>IF(Setup!T$15="","",Setup!T$15)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IF(Setup!S$16="","",Setup!S$16)</f>
        <v/>
      </c>
      <c r="C16" s="27">
        <f>IF(Setup!T$16="","",Setup!T$16)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IF(Setup!S$17="","",Setup!S$17)</f>
        <v/>
      </c>
      <c r="C17" s="27">
        <f>IF(Setup!T$17="","",Setup!T$17)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IF(Setup!S$18="","",Setup!S$18)</f>
        <v/>
      </c>
      <c r="C18" s="27">
        <f>IF(Setup!T$18="","",Setup!T$18)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IF(Setup!S$19="","",Setup!S$19)</f>
        <v/>
      </c>
      <c r="C19" s="27">
        <f>IF(Setup!T$19="","",Setup!T$19)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IF(Setup!S$20="","",Setup!S$20)</f>
        <v/>
      </c>
      <c r="C20" s="27">
        <f>IF(Setup!T$20="","",Setup!T$20)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IF(Setup!S$21="","",Setup!S$21)</f>
        <v/>
      </c>
      <c r="C21" s="27">
        <f>IF(Setup!T$21="","",Setup!T$21)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IF(Setup!S$22="","",Setup!S$22)</f>
        <v/>
      </c>
      <c r="C22" s="27">
        <f>IF(Setup!T$22="","",Setup!T$22)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IF(Setup!S$23="","",Setup!S$23)</f>
        <v/>
      </c>
      <c r="C23" s="27">
        <f>IF(Setup!T$23="","",Setup!T$23)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8</t>
        </is>
      </c>
      <c r="B1" s="1">
        <f>IF(Setup!U$4="","(enter course on Setup sheet)",Setup!U$4)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IF(D$2="","",ROUND(Handicapping!K4,0))</f>
        <v/>
      </c>
      <c r="E3" s="9" t="n"/>
      <c r="F3" s="26">
        <f>IF(F$2="","",ROUND(Handicapping!K5,0))</f>
        <v/>
      </c>
      <c r="G3" s="9" t="n"/>
      <c r="H3" s="26">
        <f>IF(H$2="","",ROUND(Handicapping!K6,0))</f>
        <v/>
      </c>
      <c r="I3" s="9" t="n"/>
      <c r="J3" s="26">
        <f>IF(J$2="","",ROUND(Handicapping!K7,0))</f>
        <v/>
      </c>
      <c r="K3" s="9" t="n"/>
      <c r="L3" s="26">
        <f>IF(L$2="","",ROUND(Handicapping!K8,0))</f>
        <v/>
      </c>
      <c r="M3" s="9" t="n"/>
      <c r="N3" s="26">
        <f>IF(N$2="","",ROUND(Handicapping!K9,0))</f>
        <v/>
      </c>
      <c r="O3" s="9" t="n"/>
      <c r="P3" s="26">
        <f>IF(P$2="","",ROUND(Handicapping!K10,0))</f>
        <v/>
      </c>
      <c r="Q3" s="9" t="n"/>
      <c r="R3" s="26">
        <f>IF(R$2="","",ROUND(Handicapping!K11,0))</f>
        <v/>
      </c>
      <c r="S3" s="9" t="n"/>
      <c r="T3" s="26">
        <f>IF(T$2="","",ROUND(Handicapping!K12,0))</f>
        <v/>
      </c>
      <c r="U3" s="9" t="n"/>
      <c r="V3" s="26">
        <f>IF(V$2="","",ROUND(Handicapping!K13,0))</f>
        <v/>
      </c>
      <c r="W3" s="9" t="n"/>
      <c r="X3" s="26">
        <f>IF(X$2="","",ROUND(Handicapping!K14,0))</f>
        <v/>
      </c>
      <c r="Y3" s="9" t="n"/>
      <c r="Z3" s="26">
        <f>IF(Z$2="","",ROUND(Handicapping!K15,0))</f>
        <v/>
      </c>
      <c r="AA3" s="9" t="n"/>
      <c r="AB3" s="26">
        <f>IF(AB$2="","",ROUND(Handicapping!K16,0))</f>
        <v/>
      </c>
      <c r="AC3" s="9" t="n"/>
      <c r="AD3" s="26">
        <f>IF(AD$2="","",ROUND(Handicapping!K17,0))</f>
        <v/>
      </c>
      <c r="AE3" s="9" t="n"/>
      <c r="AF3" s="26">
        <f>IF(AF$2="","",ROUND(Handicapping!K18,0))</f>
        <v/>
      </c>
      <c r="AG3" s="9" t="n"/>
      <c r="AH3" s="26">
        <f>IF(AH$2="","",ROUND(Handicapping!K19,0))</f>
        <v/>
      </c>
      <c r="AI3" s="9" t="n"/>
      <c r="AJ3" s="26">
        <f>IF(AJ$2="","",ROUND(Handicapping!K20,0))</f>
        <v/>
      </c>
      <c r="AK3" s="9" t="n"/>
      <c r="AL3" s="26">
        <f>IF(AL$2="","",ROUND(Handicapping!K21,0))</f>
        <v/>
      </c>
      <c r="AM3" s="9" t="n"/>
      <c r="AN3" s="26">
        <f>IF(AN$2="","",ROUND(Handicapping!K22,0))</f>
        <v/>
      </c>
      <c r="AO3" s="9" t="n"/>
      <c r="AP3" s="26">
        <f>IF(AP$2="","",ROUND(Handicapping!K23,0))</f>
        <v/>
      </c>
      <c r="AQ3" s="9" t="n"/>
      <c r="AR3" s="26">
        <f>IF(AR$2="","",ROUND(Handicapping!K24,0))</f>
        <v/>
      </c>
      <c r="AS3" s="9" t="n"/>
      <c r="AT3" s="26">
        <f>IF(AT$2="","",ROUND(Handicapping!K25,0))</f>
        <v/>
      </c>
      <c r="AU3" s="9" t="n"/>
      <c r="AV3" s="26">
        <f>IF(AV$2="","",ROUND(Handicapping!K26,0))</f>
        <v/>
      </c>
      <c r="AW3" s="9" t="n"/>
      <c r="AX3" s="26">
        <f>IF(AX$2="","",ROUND(Handicapping!K27,0))</f>
        <v/>
      </c>
      <c r="AY3" s="9" t="n"/>
      <c r="AZ3" s="26">
        <f>IF(AZ$2="","",ROUND(Handicapping!K28,0))</f>
        <v/>
      </c>
      <c r="BA3" s="9" t="n"/>
      <c r="BB3" s="26">
        <f>IF(BB$2="","",ROUND(Handicapping!K29,0))</f>
        <v/>
      </c>
      <c r="BC3" s="9" t="n"/>
      <c r="BD3" s="26">
        <f>IF(BD$2="","",ROUND(Handicapping!K30,0))</f>
        <v/>
      </c>
      <c r="BE3" s="9" t="n"/>
      <c r="BF3" s="26">
        <f>IF(BF$2="","",ROUND(Handicapping!K31,0))</f>
        <v/>
      </c>
      <c r="BG3" s="9" t="n"/>
      <c r="BH3" s="26">
        <f>IF(BH$2="","",ROUND(Handicapping!K32,0))</f>
        <v/>
      </c>
      <c r="BI3" s="9" t="n"/>
      <c r="BJ3" s="26">
        <f>IF(BJ$2="","",ROUND(Handicapping!K33,0))</f>
        <v/>
      </c>
      <c r="BK3" s="9" t="n"/>
      <c r="BL3" s="26">
        <f>IF(BL$2="","",ROUND(Handicapping!K34,0))</f>
        <v/>
      </c>
      <c r="BM3" s="9" t="n"/>
      <c r="BN3" s="26">
        <f>IF(BN$2="","",ROUND(Handicapping!K35,0))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IF(Setup!U$6="","",Setup!U$6)</f>
        <v/>
      </c>
      <c r="C5" s="27">
        <f>IF(Setup!V$6="","",Setup!V$6)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IF(Setup!U$7="","",Setup!U$7)</f>
        <v/>
      </c>
      <c r="C6" s="27">
        <f>IF(Setup!V$7="","",Setup!V$7)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IF(Setup!U$8="","",Setup!U$8)</f>
        <v/>
      </c>
      <c r="C7" s="27">
        <f>IF(Setup!V$8="","",Setup!V$8)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IF(Setup!U$9="","",Setup!U$9)</f>
        <v/>
      </c>
      <c r="C8" s="27">
        <f>IF(Setup!V$9="","",Setup!V$9)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IF(Setup!U$10="","",Setup!U$10)</f>
        <v/>
      </c>
      <c r="C9" s="27">
        <f>IF(Setup!V$10="","",Setup!V$10)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IF(Setup!U$11="","",Setup!U$11)</f>
        <v/>
      </c>
      <c r="C10" s="27">
        <f>IF(Setup!V$11="","",Setup!V$11)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IF(Setup!U$12="","",Setup!U$12)</f>
        <v/>
      </c>
      <c r="C11" s="27">
        <f>IF(Setup!V$12="","",Setup!V$12)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IF(Setup!U$13="","",Setup!U$13)</f>
        <v/>
      </c>
      <c r="C12" s="27">
        <f>IF(Setup!V$13="","",Setup!V$13)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IF(Setup!U$14="","",Setup!U$14)</f>
        <v/>
      </c>
      <c r="C13" s="27">
        <f>IF(Setup!V$14="","",Setup!V$14)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IF(Setup!U$15="","",Setup!U$15)</f>
        <v/>
      </c>
      <c r="C15" s="27">
        <f>IF(Setup!V$15="","",Setup!V$15)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IF(Setup!U$16="","",Setup!U$16)</f>
        <v/>
      </c>
      <c r="C16" s="27">
        <f>IF(Setup!V$16="","",Setup!V$16)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IF(Setup!U$17="","",Setup!U$17)</f>
        <v/>
      </c>
      <c r="C17" s="27">
        <f>IF(Setup!V$17="","",Setup!V$17)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IF(Setup!U$18="","",Setup!U$18)</f>
        <v/>
      </c>
      <c r="C18" s="27">
        <f>IF(Setup!V$18="","",Setup!V$18)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IF(Setup!U$19="","",Setup!U$19)</f>
        <v/>
      </c>
      <c r="C19" s="27">
        <f>IF(Setup!V$19="","",Setup!V$19)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IF(Setup!U$20="","",Setup!U$20)</f>
        <v/>
      </c>
      <c r="C20" s="27">
        <f>IF(Setup!V$20="","",Setup!V$20)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IF(Setup!U$21="","",Setup!U$21)</f>
        <v/>
      </c>
      <c r="C21" s="27">
        <f>IF(Setup!V$21="","",Setup!V$21)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IF(Setup!U$22="","",Setup!U$22)</f>
        <v/>
      </c>
      <c r="C22" s="27">
        <f>IF(Setup!V$22="","",Setup!V$22)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IF(Setup!U$23="","",Setup!U$23)</f>
        <v/>
      </c>
      <c r="C23" s="27">
        <f>IF(Setup!V$23="","",Setup!V$23)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13.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9</t>
        </is>
      </c>
      <c r="B1" s="1">
        <f>IF(Setup!W$4="","(enter course on Setup sheet)",Setup!W$4)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IF(D$2="","",ROUND(Handicapping!L4,0))</f>
        <v/>
      </c>
      <c r="E3" s="9" t="n"/>
      <c r="F3" s="26">
        <f>IF(F$2="","",ROUND(Handicapping!L5,0))</f>
        <v/>
      </c>
      <c r="G3" s="9" t="n"/>
      <c r="H3" s="26">
        <f>IF(H$2="","",ROUND(Handicapping!L6,0))</f>
        <v/>
      </c>
      <c r="I3" s="9" t="n"/>
      <c r="J3" s="26">
        <f>IF(J$2="","",ROUND(Handicapping!L7,0))</f>
        <v/>
      </c>
      <c r="K3" s="9" t="n"/>
      <c r="L3" s="26">
        <f>IF(L$2="","",ROUND(Handicapping!L8,0))</f>
        <v/>
      </c>
      <c r="M3" s="9" t="n"/>
      <c r="N3" s="26">
        <f>IF(N$2="","",ROUND(Handicapping!L9,0))</f>
        <v/>
      </c>
      <c r="O3" s="9" t="n"/>
      <c r="P3" s="26">
        <f>IF(P$2="","",ROUND(Handicapping!L10,0))</f>
        <v/>
      </c>
      <c r="Q3" s="9" t="n"/>
      <c r="R3" s="26">
        <f>IF(R$2="","",ROUND(Handicapping!L11,0))</f>
        <v/>
      </c>
      <c r="S3" s="9" t="n"/>
      <c r="T3" s="26">
        <f>IF(T$2="","",ROUND(Handicapping!L12,0))</f>
        <v/>
      </c>
      <c r="U3" s="9" t="n"/>
      <c r="V3" s="26">
        <f>IF(V$2="","",ROUND(Handicapping!L13,0))</f>
        <v/>
      </c>
      <c r="W3" s="9" t="n"/>
      <c r="X3" s="26">
        <f>IF(X$2="","",ROUND(Handicapping!L14,0))</f>
        <v/>
      </c>
      <c r="Y3" s="9" t="n"/>
      <c r="Z3" s="26">
        <f>IF(Z$2="","",ROUND(Handicapping!L15,0))</f>
        <v/>
      </c>
      <c r="AA3" s="9" t="n"/>
      <c r="AB3" s="26">
        <f>IF(AB$2="","",ROUND(Handicapping!L16,0))</f>
        <v/>
      </c>
      <c r="AC3" s="9" t="n"/>
      <c r="AD3" s="26">
        <f>IF(AD$2="","",ROUND(Handicapping!L17,0))</f>
        <v/>
      </c>
      <c r="AE3" s="9" t="n"/>
      <c r="AF3" s="26">
        <f>IF(AF$2="","",ROUND(Handicapping!L18,0))</f>
        <v/>
      </c>
      <c r="AG3" s="9" t="n"/>
      <c r="AH3" s="26">
        <f>IF(AH$2="","",ROUND(Handicapping!L19,0))</f>
        <v/>
      </c>
      <c r="AI3" s="9" t="n"/>
      <c r="AJ3" s="26">
        <f>IF(AJ$2="","",ROUND(Handicapping!L20,0))</f>
        <v/>
      </c>
      <c r="AK3" s="9" t="n"/>
      <c r="AL3" s="26">
        <f>IF(AL$2="","",ROUND(Handicapping!L21,0))</f>
        <v/>
      </c>
      <c r="AM3" s="9" t="n"/>
      <c r="AN3" s="26">
        <f>IF(AN$2="","",ROUND(Handicapping!L22,0))</f>
        <v/>
      </c>
      <c r="AO3" s="9" t="n"/>
      <c r="AP3" s="26">
        <f>IF(AP$2="","",ROUND(Handicapping!L23,0))</f>
        <v/>
      </c>
      <c r="AQ3" s="9" t="n"/>
      <c r="AR3" s="26">
        <f>IF(AR$2="","",ROUND(Handicapping!L24,0))</f>
        <v/>
      </c>
      <c r="AS3" s="9" t="n"/>
      <c r="AT3" s="26">
        <f>IF(AT$2="","",ROUND(Handicapping!L25,0))</f>
        <v/>
      </c>
      <c r="AU3" s="9" t="n"/>
      <c r="AV3" s="26">
        <f>IF(AV$2="","",ROUND(Handicapping!L26,0))</f>
        <v/>
      </c>
      <c r="AW3" s="9" t="n"/>
      <c r="AX3" s="26">
        <f>IF(AX$2="","",ROUND(Handicapping!L27,0))</f>
        <v/>
      </c>
      <c r="AY3" s="9" t="n"/>
      <c r="AZ3" s="26">
        <f>IF(AZ$2="","",ROUND(Handicapping!L28,0))</f>
        <v/>
      </c>
      <c r="BA3" s="9" t="n"/>
      <c r="BB3" s="26">
        <f>IF(BB$2="","",ROUND(Handicapping!L29,0))</f>
        <v/>
      </c>
      <c r="BC3" s="9" t="n"/>
      <c r="BD3" s="26">
        <f>IF(BD$2="","",ROUND(Handicapping!L30,0))</f>
        <v/>
      </c>
      <c r="BE3" s="9" t="n"/>
      <c r="BF3" s="26">
        <f>IF(BF$2="","",ROUND(Handicapping!L31,0))</f>
        <v/>
      </c>
      <c r="BG3" s="9" t="n"/>
      <c r="BH3" s="26">
        <f>IF(BH$2="","",ROUND(Handicapping!L32,0))</f>
        <v/>
      </c>
      <c r="BI3" s="9" t="n"/>
      <c r="BJ3" s="26">
        <f>IF(BJ$2="","",ROUND(Handicapping!L33,0))</f>
        <v/>
      </c>
      <c r="BK3" s="9" t="n"/>
      <c r="BL3" s="26">
        <f>IF(BL$2="","",ROUND(Handicapping!L34,0))</f>
        <v/>
      </c>
      <c r="BM3" s="9" t="n"/>
      <c r="BN3" s="26">
        <f>IF(BN$2="","",ROUND(Handicapping!L35,0))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IF(Setup!W$6="","",Setup!W$6)</f>
        <v/>
      </c>
      <c r="C5" s="27">
        <f>IF(Setup!X$6="","",Setup!X$6)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IF(Setup!W$7="","",Setup!W$7)</f>
        <v/>
      </c>
      <c r="C6" s="27">
        <f>IF(Setup!X$7="","",Setup!X$7)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IF(Setup!W$8="","",Setup!W$8)</f>
        <v/>
      </c>
      <c r="C7" s="27">
        <f>IF(Setup!X$8="","",Setup!X$8)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IF(Setup!W$9="","",Setup!W$9)</f>
        <v/>
      </c>
      <c r="C8" s="27">
        <f>IF(Setup!X$9="","",Setup!X$9)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IF(Setup!W$10="","",Setup!W$10)</f>
        <v/>
      </c>
      <c r="C9" s="27">
        <f>IF(Setup!X$10="","",Setup!X$10)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IF(Setup!W$11="","",Setup!W$11)</f>
        <v/>
      </c>
      <c r="C10" s="27">
        <f>IF(Setup!X$11="","",Setup!X$11)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IF(Setup!W$12="","",Setup!W$12)</f>
        <v/>
      </c>
      <c r="C11" s="27">
        <f>IF(Setup!X$12="","",Setup!X$12)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IF(Setup!W$13="","",Setup!W$13)</f>
        <v/>
      </c>
      <c r="C12" s="27">
        <f>IF(Setup!X$13="","",Setup!X$13)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IF(Setup!W$14="","",Setup!W$14)</f>
        <v/>
      </c>
      <c r="C13" s="27">
        <f>IF(Setup!X$14="","",Setup!X$14)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IF(Setup!W$15="","",Setup!W$15)</f>
        <v/>
      </c>
      <c r="C15" s="27">
        <f>IF(Setup!X$15="","",Setup!X$15)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IF(Setup!W$16="","",Setup!W$16)</f>
        <v/>
      </c>
      <c r="C16" s="27">
        <f>IF(Setup!X$16="","",Setup!X$16)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IF(Setup!W$17="","",Setup!W$17)</f>
        <v/>
      </c>
      <c r="C17" s="27">
        <f>IF(Setup!X$17="","",Setup!X$17)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IF(Setup!W$18="","",Setup!W$18)</f>
        <v/>
      </c>
      <c r="C18" s="27">
        <f>IF(Setup!X$18="","",Setup!X$18)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IF(Setup!W$19="","",Setup!W$19)</f>
        <v/>
      </c>
      <c r="C19" s="27">
        <f>IF(Setup!X$19="","",Setup!X$19)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IF(Setup!W$20="","",Setup!W$20)</f>
        <v/>
      </c>
      <c r="C20" s="27">
        <f>IF(Setup!X$20="","",Setup!X$20)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IF(Setup!W$21="","",Setup!W$21)</f>
        <v/>
      </c>
      <c r="C21" s="27">
        <f>IF(Setup!X$21="","",Setup!X$21)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IF(Setup!W$22="","",Setup!W$22)</f>
        <v/>
      </c>
      <c r="C22" s="27">
        <f>IF(Setup!X$22="","",Setup!X$22)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IF(Setup!W$23="","",Setup!W$23)</f>
        <v/>
      </c>
      <c r="C23" s="27">
        <f>IF(Setup!X$23="","",Setup!X$23)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xl/worksheets/sheet14.xml><?xml version="1.0" encoding="utf-8"?>
<worksheet xmlns="http://schemas.openxmlformats.org/spreadsheetml/2006/main">
  <sheetPr>
    <tabColor rgb="002E75B6"/>
    <outlinePr summaryBelow="1" summaryRight="1"/>
    <pageSetUpPr/>
  </sheetPr>
  <dimension ref="A1:BO63"/>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9" customWidth="1" min="1" max="1"/>
    <col width="5" customWidth="1" min="2" max="2"/>
    <col width="5" customWidth="1" min="3" max="3"/>
    <col width="6.5" customWidth="1" min="4" max="4"/>
    <col width="5.5" customWidth="1" min="5" max="5"/>
    <col width="6.5" customWidth="1" min="6" max="6"/>
    <col width="5.5" customWidth="1" min="7" max="7"/>
    <col width="6.5" customWidth="1" min="8" max="8"/>
    <col width="5.5" customWidth="1" min="9" max="9"/>
    <col width="6.5" customWidth="1" min="10" max="10"/>
    <col width="5.5" customWidth="1" min="11" max="11"/>
    <col width="6.5" customWidth="1" min="12" max="12"/>
    <col width="5.5" customWidth="1" min="13" max="13"/>
    <col width="6.5" customWidth="1" min="14" max="14"/>
    <col width="5.5" customWidth="1" min="15" max="15"/>
    <col width="6.5" customWidth="1" min="16" max="16"/>
    <col width="5.5" customWidth="1" min="17" max="17"/>
    <col width="6.5" customWidth="1" min="18" max="18"/>
    <col width="5.5" customWidth="1" min="19" max="19"/>
    <col width="6.5" customWidth="1" min="20" max="20"/>
    <col width="5.5" customWidth="1" min="21" max="21"/>
    <col width="6.5" customWidth="1" min="22" max="22"/>
    <col width="5.5" customWidth="1" min="23" max="23"/>
    <col width="6.5" customWidth="1" min="24" max="24"/>
    <col width="5.5" customWidth="1" min="25" max="25"/>
    <col width="6.5" customWidth="1" min="26" max="26"/>
    <col width="5.5" customWidth="1" min="27" max="27"/>
    <col width="6.5" customWidth="1" min="28" max="28"/>
    <col width="5.5" customWidth="1" min="29" max="29"/>
    <col width="6.5" customWidth="1" min="30" max="30"/>
    <col width="5.5" customWidth="1" min="31" max="31"/>
    <col width="6.5" customWidth="1" min="32" max="32"/>
    <col width="5.5" customWidth="1" min="33" max="33"/>
    <col width="6.5" customWidth="1" min="34" max="34"/>
    <col width="5.5" customWidth="1" min="35" max="35"/>
    <col width="6.5" customWidth="1" min="36" max="36"/>
    <col width="5.5" customWidth="1" min="37" max="37"/>
    <col width="6.5" customWidth="1" min="38" max="38"/>
    <col width="5.5" customWidth="1" min="39" max="39"/>
    <col width="6.5" customWidth="1" min="40" max="40"/>
    <col width="5.5" customWidth="1" min="41" max="41"/>
    <col width="6.5" customWidth="1" min="42" max="42"/>
    <col width="5.5" customWidth="1" min="43" max="43"/>
    <col width="6.5" customWidth="1" min="44" max="44"/>
    <col width="5.5" customWidth="1" min="45" max="45"/>
    <col width="6.5" customWidth="1" min="46" max="46"/>
    <col width="5.5" customWidth="1" min="47" max="47"/>
    <col width="6.5" customWidth="1" min="48" max="48"/>
    <col width="5.5" customWidth="1" min="49" max="49"/>
    <col width="6.5" customWidth="1" min="50" max="50"/>
    <col width="5.5" customWidth="1" min="51" max="51"/>
    <col width="6.5" customWidth="1" min="52" max="52"/>
    <col width="5.5" customWidth="1" min="53" max="53"/>
    <col width="6.5" customWidth="1" min="54" max="54"/>
    <col width="5.5" customWidth="1" min="55" max="55"/>
    <col width="6.5" customWidth="1" min="56" max="56"/>
    <col width="5.5" customWidth="1" min="57" max="57"/>
    <col width="6.5" customWidth="1" min="58" max="58"/>
    <col width="5.5" customWidth="1" min="59" max="59"/>
    <col width="6.5" customWidth="1" min="60" max="60"/>
    <col width="5.5" customWidth="1" min="61" max="61"/>
    <col width="6.5" customWidth="1" min="62" max="62"/>
    <col width="5.5" customWidth="1" min="63" max="63"/>
    <col width="6.5" customWidth="1" min="64" max="64"/>
    <col width="5.5" customWidth="1" min="65" max="65"/>
    <col width="6.5" customWidth="1" min="66" max="66"/>
    <col width="5.5" customWidth="1" min="67" max="67"/>
  </cols>
  <sheetData>
    <row r="1">
      <c r="A1" s="1" t="inlineStr">
        <is>
          <t>Round 10</t>
        </is>
      </c>
      <c r="B1" s="1">
        <f>IF(Setup!Y$4="","(enter course on Setup sheet)",Setup!Y$4)</f>
        <v/>
      </c>
    </row>
    <row r="2">
      <c r="A2" s="23" t="inlineStr">
        <is>
          <t>Player</t>
        </is>
      </c>
      <c r="B2" s="24" t="n"/>
      <c r="C2" s="24" t="n"/>
      <c r="D2" s="8">
        <f>IF(Setup!$B$5="","",Setup!$B$5)</f>
        <v/>
      </c>
      <c r="E2" s="9" t="n"/>
      <c r="F2" s="8">
        <f>IF(Setup!$B$6="","",Setup!$B$6)</f>
        <v/>
      </c>
      <c r="G2" s="9" t="n"/>
      <c r="H2" s="8">
        <f>IF(Setup!$B$7="","",Setup!$B$7)</f>
        <v/>
      </c>
      <c r="I2" s="9" t="n"/>
      <c r="J2" s="8">
        <f>IF(Setup!$B$8="","",Setup!$B$8)</f>
        <v/>
      </c>
      <c r="K2" s="9" t="n"/>
      <c r="L2" s="8">
        <f>IF(Setup!$B$9="","",Setup!$B$9)</f>
        <v/>
      </c>
      <c r="M2" s="9" t="n"/>
      <c r="N2" s="8">
        <f>IF(Setup!$B$10="","",Setup!$B$10)</f>
        <v/>
      </c>
      <c r="O2" s="9" t="n"/>
      <c r="P2" s="8">
        <f>IF(Setup!$B$11="","",Setup!$B$11)</f>
        <v/>
      </c>
      <c r="Q2" s="9" t="n"/>
      <c r="R2" s="8">
        <f>IF(Setup!$B$12="","",Setup!$B$12)</f>
        <v/>
      </c>
      <c r="S2" s="9" t="n"/>
      <c r="T2" s="8">
        <f>IF(Setup!$B$13="","",Setup!$B$13)</f>
        <v/>
      </c>
      <c r="U2" s="9" t="n"/>
      <c r="V2" s="8">
        <f>IF(Setup!$B$14="","",Setup!$B$14)</f>
        <v/>
      </c>
      <c r="W2" s="9" t="n"/>
      <c r="X2" s="8">
        <f>IF(Setup!$B$15="","",Setup!$B$15)</f>
        <v/>
      </c>
      <c r="Y2" s="9" t="n"/>
      <c r="Z2" s="8">
        <f>IF(Setup!$B$16="","",Setup!$B$16)</f>
        <v/>
      </c>
      <c r="AA2" s="9" t="n"/>
      <c r="AB2" s="8">
        <f>IF(Setup!$B$17="","",Setup!$B$17)</f>
        <v/>
      </c>
      <c r="AC2" s="9" t="n"/>
      <c r="AD2" s="8">
        <f>IF(Setup!$B$18="","",Setup!$B$18)</f>
        <v/>
      </c>
      <c r="AE2" s="9" t="n"/>
      <c r="AF2" s="8">
        <f>IF(Setup!$B$19="","",Setup!$B$19)</f>
        <v/>
      </c>
      <c r="AG2" s="9" t="n"/>
      <c r="AH2" s="8">
        <f>IF(Setup!$B$20="","",Setup!$B$20)</f>
        <v/>
      </c>
      <c r="AI2" s="9" t="n"/>
      <c r="AJ2" s="8">
        <f>IF(Setup!$B$21="","",Setup!$B$21)</f>
        <v/>
      </c>
      <c r="AK2" s="9" t="n"/>
      <c r="AL2" s="8">
        <f>IF(Setup!$B$22="","",Setup!$B$22)</f>
        <v/>
      </c>
      <c r="AM2" s="9" t="n"/>
      <c r="AN2" s="8">
        <f>IF(Setup!$B$23="","",Setup!$B$23)</f>
        <v/>
      </c>
      <c r="AO2" s="9" t="n"/>
      <c r="AP2" s="8">
        <f>IF(Setup!$B$24="","",Setup!$B$24)</f>
        <v/>
      </c>
      <c r="AQ2" s="9" t="n"/>
      <c r="AR2" s="8">
        <f>IF(Setup!$B$25="","",Setup!$B$25)</f>
        <v/>
      </c>
      <c r="AS2" s="9" t="n"/>
      <c r="AT2" s="8">
        <f>IF(Setup!$B$26="","",Setup!$B$26)</f>
        <v/>
      </c>
      <c r="AU2" s="9" t="n"/>
      <c r="AV2" s="8">
        <f>IF(Setup!$B$27="","",Setup!$B$27)</f>
        <v/>
      </c>
      <c r="AW2" s="9" t="n"/>
      <c r="AX2" s="8">
        <f>IF(Setup!$B$28="","",Setup!$B$28)</f>
        <v/>
      </c>
      <c r="AY2" s="9" t="n"/>
      <c r="AZ2" s="8">
        <f>IF(Setup!$B$29="","",Setup!$B$29)</f>
        <v/>
      </c>
      <c r="BA2" s="9" t="n"/>
      <c r="BB2" s="8">
        <f>IF(Setup!$B$30="","",Setup!$B$30)</f>
        <v/>
      </c>
      <c r="BC2" s="9" t="n"/>
      <c r="BD2" s="8">
        <f>IF(Setup!$B$31="","",Setup!$B$31)</f>
        <v/>
      </c>
      <c r="BE2" s="9" t="n"/>
      <c r="BF2" s="8">
        <f>IF(Setup!$B$32="","",Setup!$B$32)</f>
        <v/>
      </c>
      <c r="BG2" s="9" t="n"/>
      <c r="BH2" s="8">
        <f>IF(Setup!$B$33="","",Setup!$B$33)</f>
        <v/>
      </c>
      <c r="BI2" s="9" t="n"/>
      <c r="BJ2" s="8">
        <f>IF(Setup!$B$34="","",Setup!$B$34)</f>
        <v/>
      </c>
      <c r="BK2" s="9" t="n"/>
      <c r="BL2" s="8">
        <f>IF(Setup!$B$35="","",Setup!$B$35)</f>
        <v/>
      </c>
      <c r="BM2" s="9" t="n"/>
      <c r="BN2" s="8">
        <f>IF(Setup!$B$36="","",Setup!$B$36)</f>
        <v/>
      </c>
      <c r="BO2" s="9" t="n"/>
    </row>
    <row r="3">
      <c r="A3" s="25" t="inlineStr">
        <is>
          <t>Daily H'cap</t>
        </is>
      </c>
      <c r="B3" s="10" t="n"/>
      <c r="C3" s="10" t="n"/>
      <c r="D3" s="26">
        <f>IF(D$2="","",ROUND(Handicapping!M4,0))</f>
        <v/>
      </c>
      <c r="E3" s="9" t="n"/>
      <c r="F3" s="26">
        <f>IF(F$2="","",ROUND(Handicapping!M5,0))</f>
        <v/>
      </c>
      <c r="G3" s="9" t="n"/>
      <c r="H3" s="26">
        <f>IF(H$2="","",ROUND(Handicapping!M6,0))</f>
        <v/>
      </c>
      <c r="I3" s="9" t="n"/>
      <c r="J3" s="26">
        <f>IF(J$2="","",ROUND(Handicapping!M7,0))</f>
        <v/>
      </c>
      <c r="K3" s="9" t="n"/>
      <c r="L3" s="26">
        <f>IF(L$2="","",ROUND(Handicapping!M8,0))</f>
        <v/>
      </c>
      <c r="M3" s="9" t="n"/>
      <c r="N3" s="26">
        <f>IF(N$2="","",ROUND(Handicapping!M9,0))</f>
        <v/>
      </c>
      <c r="O3" s="9" t="n"/>
      <c r="P3" s="26">
        <f>IF(P$2="","",ROUND(Handicapping!M10,0))</f>
        <v/>
      </c>
      <c r="Q3" s="9" t="n"/>
      <c r="R3" s="26">
        <f>IF(R$2="","",ROUND(Handicapping!M11,0))</f>
        <v/>
      </c>
      <c r="S3" s="9" t="n"/>
      <c r="T3" s="26">
        <f>IF(T$2="","",ROUND(Handicapping!M12,0))</f>
        <v/>
      </c>
      <c r="U3" s="9" t="n"/>
      <c r="V3" s="26">
        <f>IF(V$2="","",ROUND(Handicapping!M13,0))</f>
        <v/>
      </c>
      <c r="W3" s="9" t="n"/>
      <c r="X3" s="26">
        <f>IF(X$2="","",ROUND(Handicapping!M14,0))</f>
        <v/>
      </c>
      <c r="Y3" s="9" t="n"/>
      <c r="Z3" s="26">
        <f>IF(Z$2="","",ROUND(Handicapping!M15,0))</f>
        <v/>
      </c>
      <c r="AA3" s="9" t="n"/>
      <c r="AB3" s="26">
        <f>IF(AB$2="","",ROUND(Handicapping!M16,0))</f>
        <v/>
      </c>
      <c r="AC3" s="9" t="n"/>
      <c r="AD3" s="26">
        <f>IF(AD$2="","",ROUND(Handicapping!M17,0))</f>
        <v/>
      </c>
      <c r="AE3" s="9" t="n"/>
      <c r="AF3" s="26">
        <f>IF(AF$2="","",ROUND(Handicapping!M18,0))</f>
        <v/>
      </c>
      <c r="AG3" s="9" t="n"/>
      <c r="AH3" s="26">
        <f>IF(AH$2="","",ROUND(Handicapping!M19,0))</f>
        <v/>
      </c>
      <c r="AI3" s="9" t="n"/>
      <c r="AJ3" s="26">
        <f>IF(AJ$2="","",ROUND(Handicapping!M20,0))</f>
        <v/>
      </c>
      <c r="AK3" s="9" t="n"/>
      <c r="AL3" s="26">
        <f>IF(AL$2="","",ROUND(Handicapping!M21,0))</f>
        <v/>
      </c>
      <c r="AM3" s="9" t="n"/>
      <c r="AN3" s="26">
        <f>IF(AN$2="","",ROUND(Handicapping!M22,0))</f>
        <v/>
      </c>
      <c r="AO3" s="9" t="n"/>
      <c r="AP3" s="26">
        <f>IF(AP$2="","",ROUND(Handicapping!M23,0))</f>
        <v/>
      </c>
      <c r="AQ3" s="9" t="n"/>
      <c r="AR3" s="26">
        <f>IF(AR$2="","",ROUND(Handicapping!M24,0))</f>
        <v/>
      </c>
      <c r="AS3" s="9" t="n"/>
      <c r="AT3" s="26">
        <f>IF(AT$2="","",ROUND(Handicapping!M25,0))</f>
        <v/>
      </c>
      <c r="AU3" s="9" t="n"/>
      <c r="AV3" s="26">
        <f>IF(AV$2="","",ROUND(Handicapping!M26,0))</f>
        <v/>
      </c>
      <c r="AW3" s="9" t="n"/>
      <c r="AX3" s="26">
        <f>IF(AX$2="","",ROUND(Handicapping!M27,0))</f>
        <v/>
      </c>
      <c r="AY3" s="9" t="n"/>
      <c r="AZ3" s="26">
        <f>IF(AZ$2="","",ROUND(Handicapping!M28,0))</f>
        <v/>
      </c>
      <c r="BA3" s="9" t="n"/>
      <c r="BB3" s="26">
        <f>IF(BB$2="","",ROUND(Handicapping!M29,0))</f>
        <v/>
      </c>
      <c r="BC3" s="9" t="n"/>
      <c r="BD3" s="26">
        <f>IF(BD$2="","",ROUND(Handicapping!M30,0))</f>
        <v/>
      </c>
      <c r="BE3" s="9" t="n"/>
      <c r="BF3" s="26">
        <f>IF(BF$2="","",ROUND(Handicapping!M31,0))</f>
        <v/>
      </c>
      <c r="BG3" s="9" t="n"/>
      <c r="BH3" s="26">
        <f>IF(BH$2="","",ROUND(Handicapping!M32,0))</f>
        <v/>
      </c>
      <c r="BI3" s="9" t="n"/>
      <c r="BJ3" s="26">
        <f>IF(BJ$2="","",ROUND(Handicapping!M33,0))</f>
        <v/>
      </c>
      <c r="BK3" s="9" t="n"/>
      <c r="BL3" s="26">
        <f>IF(BL$2="","",ROUND(Handicapping!M34,0))</f>
        <v/>
      </c>
      <c r="BM3" s="9" t="n"/>
      <c r="BN3" s="26">
        <f>IF(BN$2="","",ROUND(Handicapping!M35,0))</f>
        <v/>
      </c>
      <c r="BO3" s="9" t="n"/>
    </row>
    <row r="4">
      <c r="A4" s="8" t="inlineStr">
        <is>
          <t>Hole</t>
        </is>
      </c>
      <c r="B4" s="8" t="inlineStr">
        <is>
          <t>Par</t>
        </is>
      </c>
      <c r="C4" s="8" t="inlineStr">
        <is>
          <t>SI</t>
        </is>
      </c>
      <c r="D4" s="8" t="inlineStr">
        <is>
          <t>Score</t>
        </is>
      </c>
      <c r="E4" s="8" t="inlineStr">
        <is>
          <t>Pts</t>
        </is>
      </c>
      <c r="F4" s="8" t="inlineStr">
        <is>
          <t>Score</t>
        </is>
      </c>
      <c r="G4" s="8" t="inlineStr">
        <is>
          <t>Pts</t>
        </is>
      </c>
      <c r="H4" s="8" t="inlineStr">
        <is>
          <t>Score</t>
        </is>
      </c>
      <c r="I4" s="8" t="inlineStr">
        <is>
          <t>Pts</t>
        </is>
      </c>
      <c r="J4" s="8" t="inlineStr">
        <is>
          <t>Score</t>
        </is>
      </c>
      <c r="K4" s="8" t="inlineStr">
        <is>
          <t>Pts</t>
        </is>
      </c>
      <c r="L4" s="8" t="inlineStr">
        <is>
          <t>Score</t>
        </is>
      </c>
      <c r="M4" s="8" t="inlineStr">
        <is>
          <t>Pts</t>
        </is>
      </c>
      <c r="N4" s="8" t="inlineStr">
        <is>
          <t>Score</t>
        </is>
      </c>
      <c r="O4" s="8" t="inlineStr">
        <is>
          <t>Pts</t>
        </is>
      </c>
      <c r="P4" s="8" t="inlineStr">
        <is>
          <t>Score</t>
        </is>
      </c>
      <c r="Q4" s="8" t="inlineStr">
        <is>
          <t>Pts</t>
        </is>
      </c>
      <c r="R4" s="8" t="inlineStr">
        <is>
          <t>Score</t>
        </is>
      </c>
      <c r="S4" s="8" t="inlineStr">
        <is>
          <t>Pts</t>
        </is>
      </c>
      <c r="T4" s="8" t="inlineStr">
        <is>
          <t>Score</t>
        </is>
      </c>
      <c r="U4" s="8" t="inlineStr">
        <is>
          <t>Pts</t>
        </is>
      </c>
      <c r="V4" s="8" t="inlineStr">
        <is>
          <t>Score</t>
        </is>
      </c>
      <c r="W4" s="8" t="inlineStr">
        <is>
          <t>Pts</t>
        </is>
      </c>
      <c r="X4" s="8" t="inlineStr">
        <is>
          <t>Score</t>
        </is>
      </c>
      <c r="Y4" s="8" t="inlineStr">
        <is>
          <t>Pts</t>
        </is>
      </c>
      <c r="Z4" s="8" t="inlineStr">
        <is>
          <t>Score</t>
        </is>
      </c>
      <c r="AA4" s="8" t="inlineStr">
        <is>
          <t>Pts</t>
        </is>
      </c>
      <c r="AB4" s="8" t="inlineStr">
        <is>
          <t>Score</t>
        </is>
      </c>
      <c r="AC4" s="8" t="inlineStr">
        <is>
          <t>Pts</t>
        </is>
      </c>
      <c r="AD4" s="8" t="inlineStr">
        <is>
          <t>Score</t>
        </is>
      </c>
      <c r="AE4" s="8" t="inlineStr">
        <is>
          <t>Pts</t>
        </is>
      </c>
      <c r="AF4" s="8" t="inlineStr">
        <is>
          <t>Score</t>
        </is>
      </c>
      <c r="AG4" s="8" t="inlineStr">
        <is>
          <t>Pts</t>
        </is>
      </c>
      <c r="AH4" s="8" t="inlineStr">
        <is>
          <t>Score</t>
        </is>
      </c>
      <c r="AI4" s="8" t="inlineStr">
        <is>
          <t>Pts</t>
        </is>
      </c>
      <c r="AJ4" s="8" t="inlineStr">
        <is>
          <t>Score</t>
        </is>
      </c>
      <c r="AK4" s="8" t="inlineStr">
        <is>
          <t>Pts</t>
        </is>
      </c>
      <c r="AL4" s="8" t="inlineStr">
        <is>
          <t>Score</t>
        </is>
      </c>
      <c r="AM4" s="8" t="inlineStr">
        <is>
          <t>Pts</t>
        </is>
      </c>
      <c r="AN4" s="8" t="inlineStr">
        <is>
          <t>Score</t>
        </is>
      </c>
      <c r="AO4" s="8" t="inlineStr">
        <is>
          <t>Pts</t>
        </is>
      </c>
      <c r="AP4" s="8" t="inlineStr">
        <is>
          <t>Score</t>
        </is>
      </c>
      <c r="AQ4" s="8" t="inlineStr">
        <is>
          <t>Pts</t>
        </is>
      </c>
      <c r="AR4" s="8" t="inlineStr">
        <is>
          <t>Score</t>
        </is>
      </c>
      <c r="AS4" s="8" t="inlineStr">
        <is>
          <t>Pts</t>
        </is>
      </c>
      <c r="AT4" s="8" t="inlineStr">
        <is>
          <t>Score</t>
        </is>
      </c>
      <c r="AU4" s="8" t="inlineStr">
        <is>
          <t>Pts</t>
        </is>
      </c>
      <c r="AV4" s="8" t="inlineStr">
        <is>
          <t>Score</t>
        </is>
      </c>
      <c r="AW4" s="8" t="inlineStr">
        <is>
          <t>Pts</t>
        </is>
      </c>
      <c r="AX4" s="8" t="inlineStr">
        <is>
          <t>Score</t>
        </is>
      </c>
      <c r="AY4" s="8" t="inlineStr">
        <is>
          <t>Pts</t>
        </is>
      </c>
      <c r="AZ4" s="8" t="inlineStr">
        <is>
          <t>Score</t>
        </is>
      </c>
      <c r="BA4" s="8" t="inlineStr">
        <is>
          <t>Pts</t>
        </is>
      </c>
      <c r="BB4" s="8" t="inlineStr">
        <is>
          <t>Score</t>
        </is>
      </c>
      <c r="BC4" s="8" t="inlineStr">
        <is>
          <t>Pts</t>
        </is>
      </c>
      <c r="BD4" s="8" t="inlineStr">
        <is>
          <t>Score</t>
        </is>
      </c>
      <c r="BE4" s="8" t="inlineStr">
        <is>
          <t>Pts</t>
        </is>
      </c>
      <c r="BF4" s="8" t="inlineStr">
        <is>
          <t>Score</t>
        </is>
      </c>
      <c r="BG4" s="8" t="inlineStr">
        <is>
          <t>Pts</t>
        </is>
      </c>
      <c r="BH4" s="8" t="inlineStr">
        <is>
          <t>Score</t>
        </is>
      </c>
      <c r="BI4" s="8" t="inlineStr">
        <is>
          <t>Pts</t>
        </is>
      </c>
      <c r="BJ4" s="8" t="inlineStr">
        <is>
          <t>Score</t>
        </is>
      </c>
      <c r="BK4" s="8" t="inlineStr">
        <is>
          <t>Pts</t>
        </is>
      </c>
      <c r="BL4" s="8" t="inlineStr">
        <is>
          <t>Score</t>
        </is>
      </c>
      <c r="BM4" s="8" t="inlineStr">
        <is>
          <t>Pts</t>
        </is>
      </c>
      <c r="BN4" s="8" t="inlineStr">
        <is>
          <t>Score</t>
        </is>
      </c>
      <c r="BO4" s="8" t="inlineStr">
        <is>
          <t>Pts</t>
        </is>
      </c>
    </row>
    <row r="5">
      <c r="A5" s="10" t="n">
        <v>1</v>
      </c>
      <c r="B5" s="27">
        <f>IF(Setup!Y$6="","",Setup!Y$6)</f>
        <v/>
      </c>
      <c r="C5" s="27">
        <f>IF(Setup!Z$6="","",Setup!Z$6)</f>
        <v/>
      </c>
      <c r="D5" s="11" t="n"/>
      <c r="E5" s="18">
        <f>IF(OR(N(D5)=0,$B5="",$C5=""),0,MAX(0,$B5+2-D5+IF($C5&lt;=D$3,1,0)+IF($C5+18&lt;=D$3,1,0)+IF($C5+36&lt;=D$3,1,0)))</f>
        <v/>
      </c>
      <c r="F5" s="11" t="n"/>
      <c r="G5" s="18">
        <f>IF(OR(N(F5)=0,$B5="",$C5=""),0,MAX(0,$B5+2-F5+IF($C5&lt;=F$3,1,0)+IF($C5+18&lt;=F$3,1,0)+IF($C5+36&lt;=F$3,1,0)))</f>
        <v/>
      </c>
      <c r="H5" s="11" t="n"/>
      <c r="I5" s="18">
        <f>IF(OR(N(H5)=0,$B5="",$C5=""),0,MAX(0,$B5+2-H5+IF($C5&lt;=H$3,1,0)+IF($C5+18&lt;=H$3,1,0)+IF($C5+36&lt;=H$3,1,0)))</f>
        <v/>
      </c>
      <c r="J5" s="11" t="n"/>
      <c r="K5" s="18">
        <f>IF(OR(N(J5)=0,$B5="",$C5=""),0,MAX(0,$B5+2-J5+IF($C5&lt;=J$3,1,0)+IF($C5+18&lt;=J$3,1,0)+IF($C5+36&lt;=J$3,1,0)))</f>
        <v/>
      </c>
      <c r="L5" s="11" t="n"/>
      <c r="M5" s="18">
        <f>IF(OR(N(L5)=0,$B5="",$C5=""),0,MAX(0,$B5+2-L5+IF($C5&lt;=L$3,1,0)+IF($C5+18&lt;=L$3,1,0)+IF($C5+36&lt;=L$3,1,0)))</f>
        <v/>
      </c>
      <c r="N5" s="11" t="n"/>
      <c r="O5" s="18">
        <f>IF(OR(N(N5)=0,$B5="",$C5=""),0,MAX(0,$B5+2-N5+IF($C5&lt;=N$3,1,0)+IF($C5+18&lt;=N$3,1,0)+IF($C5+36&lt;=N$3,1,0)))</f>
        <v/>
      </c>
      <c r="P5" s="11" t="n"/>
      <c r="Q5" s="18">
        <f>IF(OR(N(P5)=0,$B5="",$C5=""),0,MAX(0,$B5+2-P5+IF($C5&lt;=P$3,1,0)+IF($C5+18&lt;=P$3,1,0)+IF($C5+36&lt;=P$3,1,0)))</f>
        <v/>
      </c>
      <c r="R5" s="11" t="n"/>
      <c r="S5" s="18">
        <f>IF(OR(N(R5)=0,$B5="",$C5=""),0,MAX(0,$B5+2-R5+IF($C5&lt;=R$3,1,0)+IF($C5+18&lt;=R$3,1,0)+IF($C5+36&lt;=R$3,1,0)))</f>
        <v/>
      </c>
      <c r="T5" s="11" t="n"/>
      <c r="U5" s="18">
        <f>IF(OR(N(T5)=0,$B5="",$C5=""),0,MAX(0,$B5+2-T5+IF($C5&lt;=T$3,1,0)+IF($C5+18&lt;=T$3,1,0)+IF($C5+36&lt;=T$3,1,0)))</f>
        <v/>
      </c>
      <c r="V5" s="11" t="n"/>
      <c r="W5" s="18">
        <f>IF(OR(N(V5)=0,$B5="",$C5=""),0,MAX(0,$B5+2-V5+IF($C5&lt;=V$3,1,0)+IF($C5+18&lt;=V$3,1,0)+IF($C5+36&lt;=V$3,1,0)))</f>
        <v/>
      </c>
      <c r="X5" s="11" t="n"/>
      <c r="Y5" s="18">
        <f>IF(OR(N(X5)=0,$B5="",$C5=""),0,MAX(0,$B5+2-X5+IF($C5&lt;=X$3,1,0)+IF($C5+18&lt;=X$3,1,0)+IF($C5+36&lt;=X$3,1,0)))</f>
        <v/>
      </c>
      <c r="Z5" s="11" t="n"/>
      <c r="AA5" s="18">
        <f>IF(OR(N(Z5)=0,$B5="",$C5=""),0,MAX(0,$B5+2-Z5+IF($C5&lt;=Z$3,1,0)+IF($C5+18&lt;=Z$3,1,0)+IF($C5+36&lt;=Z$3,1,0)))</f>
        <v/>
      </c>
      <c r="AB5" s="11" t="n"/>
      <c r="AC5" s="18">
        <f>IF(OR(N(AB5)=0,$B5="",$C5=""),0,MAX(0,$B5+2-AB5+IF($C5&lt;=AB$3,1,0)+IF($C5+18&lt;=AB$3,1,0)+IF($C5+36&lt;=AB$3,1,0)))</f>
        <v/>
      </c>
      <c r="AD5" s="11" t="n"/>
      <c r="AE5" s="18">
        <f>IF(OR(N(AD5)=0,$B5="",$C5=""),0,MAX(0,$B5+2-AD5+IF($C5&lt;=AD$3,1,0)+IF($C5+18&lt;=AD$3,1,0)+IF($C5+36&lt;=AD$3,1,0)))</f>
        <v/>
      </c>
      <c r="AF5" s="11" t="n"/>
      <c r="AG5" s="18">
        <f>IF(OR(N(AF5)=0,$B5="",$C5=""),0,MAX(0,$B5+2-AF5+IF($C5&lt;=AF$3,1,0)+IF($C5+18&lt;=AF$3,1,0)+IF($C5+36&lt;=AF$3,1,0)))</f>
        <v/>
      </c>
      <c r="AH5" s="11" t="n"/>
      <c r="AI5" s="18">
        <f>IF(OR(N(AH5)=0,$B5="",$C5=""),0,MAX(0,$B5+2-AH5+IF($C5&lt;=AH$3,1,0)+IF($C5+18&lt;=AH$3,1,0)+IF($C5+36&lt;=AH$3,1,0)))</f>
        <v/>
      </c>
      <c r="AJ5" s="11" t="n"/>
      <c r="AK5" s="18">
        <f>IF(OR(N(AJ5)=0,$B5="",$C5=""),0,MAX(0,$B5+2-AJ5+IF($C5&lt;=AJ$3,1,0)+IF($C5+18&lt;=AJ$3,1,0)+IF($C5+36&lt;=AJ$3,1,0)))</f>
        <v/>
      </c>
      <c r="AL5" s="11" t="n"/>
      <c r="AM5" s="18">
        <f>IF(OR(N(AL5)=0,$B5="",$C5=""),0,MAX(0,$B5+2-AL5+IF($C5&lt;=AL$3,1,0)+IF($C5+18&lt;=AL$3,1,0)+IF($C5+36&lt;=AL$3,1,0)))</f>
        <v/>
      </c>
      <c r="AN5" s="11" t="n"/>
      <c r="AO5" s="18">
        <f>IF(OR(N(AN5)=0,$B5="",$C5=""),0,MAX(0,$B5+2-AN5+IF($C5&lt;=AN$3,1,0)+IF($C5+18&lt;=AN$3,1,0)+IF($C5+36&lt;=AN$3,1,0)))</f>
        <v/>
      </c>
      <c r="AP5" s="11" t="n"/>
      <c r="AQ5" s="18">
        <f>IF(OR(N(AP5)=0,$B5="",$C5=""),0,MAX(0,$B5+2-AP5+IF($C5&lt;=AP$3,1,0)+IF($C5+18&lt;=AP$3,1,0)+IF($C5+36&lt;=AP$3,1,0)))</f>
        <v/>
      </c>
      <c r="AR5" s="11" t="n"/>
      <c r="AS5" s="18">
        <f>IF(OR(N(AR5)=0,$B5="",$C5=""),0,MAX(0,$B5+2-AR5+IF($C5&lt;=AR$3,1,0)+IF($C5+18&lt;=AR$3,1,0)+IF($C5+36&lt;=AR$3,1,0)))</f>
        <v/>
      </c>
      <c r="AT5" s="11" t="n"/>
      <c r="AU5" s="18">
        <f>IF(OR(N(AT5)=0,$B5="",$C5=""),0,MAX(0,$B5+2-AT5+IF($C5&lt;=AT$3,1,0)+IF($C5+18&lt;=AT$3,1,0)+IF($C5+36&lt;=AT$3,1,0)))</f>
        <v/>
      </c>
      <c r="AV5" s="11" t="n"/>
      <c r="AW5" s="18">
        <f>IF(OR(N(AV5)=0,$B5="",$C5=""),0,MAX(0,$B5+2-AV5+IF($C5&lt;=AV$3,1,0)+IF($C5+18&lt;=AV$3,1,0)+IF($C5+36&lt;=AV$3,1,0)))</f>
        <v/>
      </c>
      <c r="AX5" s="11" t="n"/>
      <c r="AY5" s="18">
        <f>IF(OR(N(AX5)=0,$B5="",$C5=""),0,MAX(0,$B5+2-AX5+IF($C5&lt;=AX$3,1,0)+IF($C5+18&lt;=AX$3,1,0)+IF($C5+36&lt;=AX$3,1,0)))</f>
        <v/>
      </c>
      <c r="AZ5" s="11" t="n"/>
      <c r="BA5" s="18">
        <f>IF(OR(N(AZ5)=0,$B5="",$C5=""),0,MAX(0,$B5+2-AZ5+IF($C5&lt;=AZ$3,1,0)+IF($C5+18&lt;=AZ$3,1,0)+IF($C5+36&lt;=AZ$3,1,0)))</f>
        <v/>
      </c>
      <c r="BB5" s="11" t="n"/>
      <c r="BC5" s="18">
        <f>IF(OR(N(BB5)=0,$B5="",$C5=""),0,MAX(0,$B5+2-BB5+IF($C5&lt;=BB$3,1,0)+IF($C5+18&lt;=BB$3,1,0)+IF($C5+36&lt;=BB$3,1,0)))</f>
        <v/>
      </c>
      <c r="BD5" s="11" t="n"/>
      <c r="BE5" s="18">
        <f>IF(OR(N(BD5)=0,$B5="",$C5=""),0,MAX(0,$B5+2-BD5+IF($C5&lt;=BD$3,1,0)+IF($C5+18&lt;=BD$3,1,0)+IF($C5+36&lt;=BD$3,1,0)))</f>
        <v/>
      </c>
      <c r="BF5" s="11" t="n"/>
      <c r="BG5" s="18">
        <f>IF(OR(N(BF5)=0,$B5="",$C5=""),0,MAX(0,$B5+2-BF5+IF($C5&lt;=BF$3,1,0)+IF($C5+18&lt;=BF$3,1,0)+IF($C5+36&lt;=BF$3,1,0)))</f>
        <v/>
      </c>
      <c r="BH5" s="11" t="n"/>
      <c r="BI5" s="18">
        <f>IF(OR(N(BH5)=0,$B5="",$C5=""),0,MAX(0,$B5+2-BH5+IF($C5&lt;=BH$3,1,0)+IF($C5+18&lt;=BH$3,1,0)+IF($C5+36&lt;=BH$3,1,0)))</f>
        <v/>
      </c>
      <c r="BJ5" s="11" t="n"/>
      <c r="BK5" s="18">
        <f>IF(OR(N(BJ5)=0,$B5="",$C5=""),0,MAX(0,$B5+2-BJ5+IF($C5&lt;=BJ$3,1,0)+IF($C5+18&lt;=BJ$3,1,0)+IF($C5+36&lt;=BJ$3,1,0)))</f>
        <v/>
      </c>
      <c r="BL5" s="11" t="n"/>
      <c r="BM5" s="18">
        <f>IF(OR(N(BL5)=0,$B5="",$C5=""),0,MAX(0,$B5+2-BL5+IF($C5&lt;=BL$3,1,0)+IF($C5+18&lt;=BL$3,1,0)+IF($C5+36&lt;=BL$3,1,0)))</f>
        <v/>
      </c>
      <c r="BN5" s="11" t="n"/>
      <c r="BO5" s="18">
        <f>IF(OR(N(BN5)=0,$B5="",$C5=""),0,MAX(0,$B5+2-BN5+IF($C5&lt;=BN$3,1,0)+IF($C5+18&lt;=BN$3,1,0)+IF($C5+36&lt;=BN$3,1,0)))</f>
        <v/>
      </c>
    </row>
    <row r="6">
      <c r="A6" s="10" t="n">
        <v>2</v>
      </c>
      <c r="B6" s="27">
        <f>IF(Setup!Y$7="","",Setup!Y$7)</f>
        <v/>
      </c>
      <c r="C6" s="27">
        <f>IF(Setup!Z$7="","",Setup!Z$7)</f>
        <v/>
      </c>
      <c r="D6" s="11" t="n"/>
      <c r="E6" s="18">
        <f>IF(OR(N(D6)=0,$B6="",$C6=""),0,MAX(0,$B6+2-D6+IF($C6&lt;=D$3,1,0)+IF($C6+18&lt;=D$3,1,0)+IF($C6+36&lt;=D$3,1,0)))</f>
        <v/>
      </c>
      <c r="F6" s="11" t="n"/>
      <c r="G6" s="18">
        <f>IF(OR(N(F6)=0,$B6="",$C6=""),0,MAX(0,$B6+2-F6+IF($C6&lt;=F$3,1,0)+IF($C6+18&lt;=F$3,1,0)+IF($C6+36&lt;=F$3,1,0)))</f>
        <v/>
      </c>
      <c r="H6" s="11" t="n"/>
      <c r="I6" s="18">
        <f>IF(OR(N(H6)=0,$B6="",$C6=""),0,MAX(0,$B6+2-H6+IF($C6&lt;=H$3,1,0)+IF($C6+18&lt;=H$3,1,0)+IF($C6+36&lt;=H$3,1,0)))</f>
        <v/>
      </c>
      <c r="J6" s="11" t="n"/>
      <c r="K6" s="18">
        <f>IF(OR(N(J6)=0,$B6="",$C6=""),0,MAX(0,$B6+2-J6+IF($C6&lt;=J$3,1,0)+IF($C6+18&lt;=J$3,1,0)+IF($C6+36&lt;=J$3,1,0)))</f>
        <v/>
      </c>
      <c r="L6" s="11" t="n"/>
      <c r="M6" s="18">
        <f>IF(OR(N(L6)=0,$B6="",$C6=""),0,MAX(0,$B6+2-L6+IF($C6&lt;=L$3,1,0)+IF($C6+18&lt;=L$3,1,0)+IF($C6+36&lt;=L$3,1,0)))</f>
        <v/>
      </c>
      <c r="N6" s="11" t="n"/>
      <c r="O6" s="18">
        <f>IF(OR(N(N6)=0,$B6="",$C6=""),0,MAX(0,$B6+2-N6+IF($C6&lt;=N$3,1,0)+IF($C6+18&lt;=N$3,1,0)+IF($C6+36&lt;=N$3,1,0)))</f>
        <v/>
      </c>
      <c r="P6" s="11" t="n"/>
      <c r="Q6" s="18">
        <f>IF(OR(N(P6)=0,$B6="",$C6=""),0,MAX(0,$B6+2-P6+IF($C6&lt;=P$3,1,0)+IF($C6+18&lt;=P$3,1,0)+IF($C6+36&lt;=P$3,1,0)))</f>
        <v/>
      </c>
      <c r="R6" s="11" t="n"/>
      <c r="S6" s="18">
        <f>IF(OR(N(R6)=0,$B6="",$C6=""),0,MAX(0,$B6+2-R6+IF($C6&lt;=R$3,1,0)+IF($C6+18&lt;=R$3,1,0)+IF($C6+36&lt;=R$3,1,0)))</f>
        <v/>
      </c>
      <c r="T6" s="11" t="n"/>
      <c r="U6" s="18">
        <f>IF(OR(N(T6)=0,$B6="",$C6=""),0,MAX(0,$B6+2-T6+IF($C6&lt;=T$3,1,0)+IF($C6+18&lt;=T$3,1,0)+IF($C6+36&lt;=T$3,1,0)))</f>
        <v/>
      </c>
      <c r="V6" s="11" t="n"/>
      <c r="W6" s="18">
        <f>IF(OR(N(V6)=0,$B6="",$C6=""),0,MAX(0,$B6+2-V6+IF($C6&lt;=V$3,1,0)+IF($C6+18&lt;=V$3,1,0)+IF($C6+36&lt;=V$3,1,0)))</f>
        <v/>
      </c>
      <c r="X6" s="11" t="n"/>
      <c r="Y6" s="18">
        <f>IF(OR(N(X6)=0,$B6="",$C6=""),0,MAX(0,$B6+2-X6+IF($C6&lt;=X$3,1,0)+IF($C6+18&lt;=X$3,1,0)+IF($C6+36&lt;=X$3,1,0)))</f>
        <v/>
      </c>
      <c r="Z6" s="11" t="n"/>
      <c r="AA6" s="18">
        <f>IF(OR(N(Z6)=0,$B6="",$C6=""),0,MAX(0,$B6+2-Z6+IF($C6&lt;=Z$3,1,0)+IF($C6+18&lt;=Z$3,1,0)+IF($C6+36&lt;=Z$3,1,0)))</f>
        <v/>
      </c>
      <c r="AB6" s="11" t="n"/>
      <c r="AC6" s="18">
        <f>IF(OR(N(AB6)=0,$B6="",$C6=""),0,MAX(0,$B6+2-AB6+IF($C6&lt;=AB$3,1,0)+IF($C6+18&lt;=AB$3,1,0)+IF($C6+36&lt;=AB$3,1,0)))</f>
        <v/>
      </c>
      <c r="AD6" s="11" t="n"/>
      <c r="AE6" s="18">
        <f>IF(OR(N(AD6)=0,$B6="",$C6=""),0,MAX(0,$B6+2-AD6+IF($C6&lt;=AD$3,1,0)+IF($C6+18&lt;=AD$3,1,0)+IF($C6+36&lt;=AD$3,1,0)))</f>
        <v/>
      </c>
      <c r="AF6" s="11" t="n"/>
      <c r="AG6" s="18">
        <f>IF(OR(N(AF6)=0,$B6="",$C6=""),0,MAX(0,$B6+2-AF6+IF($C6&lt;=AF$3,1,0)+IF($C6+18&lt;=AF$3,1,0)+IF($C6+36&lt;=AF$3,1,0)))</f>
        <v/>
      </c>
      <c r="AH6" s="11" t="n"/>
      <c r="AI6" s="18">
        <f>IF(OR(N(AH6)=0,$B6="",$C6=""),0,MAX(0,$B6+2-AH6+IF($C6&lt;=AH$3,1,0)+IF($C6+18&lt;=AH$3,1,0)+IF($C6+36&lt;=AH$3,1,0)))</f>
        <v/>
      </c>
      <c r="AJ6" s="11" t="n"/>
      <c r="AK6" s="18">
        <f>IF(OR(N(AJ6)=0,$B6="",$C6=""),0,MAX(0,$B6+2-AJ6+IF($C6&lt;=AJ$3,1,0)+IF($C6+18&lt;=AJ$3,1,0)+IF($C6+36&lt;=AJ$3,1,0)))</f>
        <v/>
      </c>
      <c r="AL6" s="11" t="n"/>
      <c r="AM6" s="18">
        <f>IF(OR(N(AL6)=0,$B6="",$C6=""),0,MAX(0,$B6+2-AL6+IF($C6&lt;=AL$3,1,0)+IF($C6+18&lt;=AL$3,1,0)+IF($C6+36&lt;=AL$3,1,0)))</f>
        <v/>
      </c>
      <c r="AN6" s="11" t="n"/>
      <c r="AO6" s="18">
        <f>IF(OR(N(AN6)=0,$B6="",$C6=""),0,MAX(0,$B6+2-AN6+IF($C6&lt;=AN$3,1,0)+IF($C6+18&lt;=AN$3,1,0)+IF($C6+36&lt;=AN$3,1,0)))</f>
        <v/>
      </c>
      <c r="AP6" s="11" t="n"/>
      <c r="AQ6" s="18">
        <f>IF(OR(N(AP6)=0,$B6="",$C6=""),0,MAX(0,$B6+2-AP6+IF($C6&lt;=AP$3,1,0)+IF($C6+18&lt;=AP$3,1,0)+IF($C6+36&lt;=AP$3,1,0)))</f>
        <v/>
      </c>
      <c r="AR6" s="11" t="n"/>
      <c r="AS6" s="18">
        <f>IF(OR(N(AR6)=0,$B6="",$C6=""),0,MAX(0,$B6+2-AR6+IF($C6&lt;=AR$3,1,0)+IF($C6+18&lt;=AR$3,1,0)+IF($C6+36&lt;=AR$3,1,0)))</f>
        <v/>
      </c>
      <c r="AT6" s="11" t="n"/>
      <c r="AU6" s="18">
        <f>IF(OR(N(AT6)=0,$B6="",$C6=""),0,MAX(0,$B6+2-AT6+IF($C6&lt;=AT$3,1,0)+IF($C6+18&lt;=AT$3,1,0)+IF($C6+36&lt;=AT$3,1,0)))</f>
        <v/>
      </c>
      <c r="AV6" s="11" t="n"/>
      <c r="AW6" s="18">
        <f>IF(OR(N(AV6)=0,$B6="",$C6=""),0,MAX(0,$B6+2-AV6+IF($C6&lt;=AV$3,1,0)+IF($C6+18&lt;=AV$3,1,0)+IF($C6+36&lt;=AV$3,1,0)))</f>
        <v/>
      </c>
      <c r="AX6" s="11" t="n"/>
      <c r="AY6" s="18">
        <f>IF(OR(N(AX6)=0,$B6="",$C6=""),0,MAX(0,$B6+2-AX6+IF($C6&lt;=AX$3,1,0)+IF($C6+18&lt;=AX$3,1,0)+IF($C6+36&lt;=AX$3,1,0)))</f>
        <v/>
      </c>
      <c r="AZ6" s="11" t="n"/>
      <c r="BA6" s="18">
        <f>IF(OR(N(AZ6)=0,$B6="",$C6=""),0,MAX(0,$B6+2-AZ6+IF($C6&lt;=AZ$3,1,0)+IF($C6+18&lt;=AZ$3,1,0)+IF($C6+36&lt;=AZ$3,1,0)))</f>
        <v/>
      </c>
      <c r="BB6" s="11" t="n"/>
      <c r="BC6" s="18">
        <f>IF(OR(N(BB6)=0,$B6="",$C6=""),0,MAX(0,$B6+2-BB6+IF($C6&lt;=BB$3,1,0)+IF($C6+18&lt;=BB$3,1,0)+IF($C6+36&lt;=BB$3,1,0)))</f>
        <v/>
      </c>
      <c r="BD6" s="11" t="n"/>
      <c r="BE6" s="18">
        <f>IF(OR(N(BD6)=0,$B6="",$C6=""),0,MAX(0,$B6+2-BD6+IF($C6&lt;=BD$3,1,0)+IF($C6+18&lt;=BD$3,1,0)+IF($C6+36&lt;=BD$3,1,0)))</f>
        <v/>
      </c>
      <c r="BF6" s="11" t="n"/>
      <c r="BG6" s="18">
        <f>IF(OR(N(BF6)=0,$B6="",$C6=""),0,MAX(0,$B6+2-BF6+IF($C6&lt;=BF$3,1,0)+IF($C6+18&lt;=BF$3,1,0)+IF($C6+36&lt;=BF$3,1,0)))</f>
        <v/>
      </c>
      <c r="BH6" s="11" t="n"/>
      <c r="BI6" s="18">
        <f>IF(OR(N(BH6)=0,$B6="",$C6=""),0,MAX(0,$B6+2-BH6+IF($C6&lt;=BH$3,1,0)+IF($C6+18&lt;=BH$3,1,0)+IF($C6+36&lt;=BH$3,1,0)))</f>
        <v/>
      </c>
      <c r="BJ6" s="11" t="n"/>
      <c r="BK6" s="18">
        <f>IF(OR(N(BJ6)=0,$B6="",$C6=""),0,MAX(0,$B6+2-BJ6+IF($C6&lt;=BJ$3,1,0)+IF($C6+18&lt;=BJ$3,1,0)+IF($C6+36&lt;=BJ$3,1,0)))</f>
        <v/>
      </c>
      <c r="BL6" s="11" t="n"/>
      <c r="BM6" s="18">
        <f>IF(OR(N(BL6)=0,$B6="",$C6=""),0,MAX(0,$B6+2-BL6+IF($C6&lt;=BL$3,1,0)+IF($C6+18&lt;=BL$3,1,0)+IF($C6+36&lt;=BL$3,1,0)))</f>
        <v/>
      </c>
      <c r="BN6" s="11" t="n"/>
      <c r="BO6" s="18">
        <f>IF(OR(N(BN6)=0,$B6="",$C6=""),0,MAX(0,$B6+2-BN6+IF($C6&lt;=BN$3,1,0)+IF($C6+18&lt;=BN$3,1,0)+IF($C6+36&lt;=BN$3,1,0)))</f>
        <v/>
      </c>
    </row>
    <row r="7">
      <c r="A7" s="10" t="n">
        <v>3</v>
      </c>
      <c r="B7" s="27">
        <f>IF(Setup!Y$8="","",Setup!Y$8)</f>
        <v/>
      </c>
      <c r="C7" s="27">
        <f>IF(Setup!Z$8="","",Setup!Z$8)</f>
        <v/>
      </c>
      <c r="D7" s="11" t="n"/>
      <c r="E7" s="18">
        <f>IF(OR(N(D7)=0,$B7="",$C7=""),0,MAX(0,$B7+2-D7+IF($C7&lt;=D$3,1,0)+IF($C7+18&lt;=D$3,1,0)+IF($C7+36&lt;=D$3,1,0)))</f>
        <v/>
      </c>
      <c r="F7" s="11" t="n"/>
      <c r="G7" s="18">
        <f>IF(OR(N(F7)=0,$B7="",$C7=""),0,MAX(0,$B7+2-F7+IF($C7&lt;=F$3,1,0)+IF($C7+18&lt;=F$3,1,0)+IF($C7+36&lt;=F$3,1,0)))</f>
        <v/>
      </c>
      <c r="H7" s="11" t="n"/>
      <c r="I7" s="18">
        <f>IF(OR(N(H7)=0,$B7="",$C7=""),0,MAX(0,$B7+2-H7+IF($C7&lt;=H$3,1,0)+IF($C7+18&lt;=H$3,1,0)+IF($C7+36&lt;=H$3,1,0)))</f>
        <v/>
      </c>
      <c r="J7" s="11" t="n"/>
      <c r="K7" s="18">
        <f>IF(OR(N(J7)=0,$B7="",$C7=""),0,MAX(0,$B7+2-J7+IF($C7&lt;=J$3,1,0)+IF($C7+18&lt;=J$3,1,0)+IF($C7+36&lt;=J$3,1,0)))</f>
        <v/>
      </c>
      <c r="L7" s="11" t="n"/>
      <c r="M7" s="18">
        <f>IF(OR(N(L7)=0,$B7="",$C7=""),0,MAX(0,$B7+2-L7+IF($C7&lt;=L$3,1,0)+IF($C7+18&lt;=L$3,1,0)+IF($C7+36&lt;=L$3,1,0)))</f>
        <v/>
      </c>
      <c r="N7" s="11" t="n"/>
      <c r="O7" s="18">
        <f>IF(OR(N(N7)=0,$B7="",$C7=""),0,MAX(0,$B7+2-N7+IF($C7&lt;=N$3,1,0)+IF($C7+18&lt;=N$3,1,0)+IF($C7+36&lt;=N$3,1,0)))</f>
        <v/>
      </c>
      <c r="P7" s="11" t="n"/>
      <c r="Q7" s="18">
        <f>IF(OR(N(P7)=0,$B7="",$C7=""),0,MAX(0,$B7+2-P7+IF($C7&lt;=P$3,1,0)+IF($C7+18&lt;=P$3,1,0)+IF($C7+36&lt;=P$3,1,0)))</f>
        <v/>
      </c>
      <c r="R7" s="11" t="n"/>
      <c r="S7" s="18">
        <f>IF(OR(N(R7)=0,$B7="",$C7=""),0,MAX(0,$B7+2-R7+IF($C7&lt;=R$3,1,0)+IF($C7+18&lt;=R$3,1,0)+IF($C7+36&lt;=R$3,1,0)))</f>
        <v/>
      </c>
      <c r="T7" s="11" t="n"/>
      <c r="U7" s="18">
        <f>IF(OR(N(T7)=0,$B7="",$C7=""),0,MAX(0,$B7+2-T7+IF($C7&lt;=T$3,1,0)+IF($C7+18&lt;=T$3,1,0)+IF($C7+36&lt;=T$3,1,0)))</f>
        <v/>
      </c>
      <c r="V7" s="11" t="n"/>
      <c r="W7" s="18">
        <f>IF(OR(N(V7)=0,$B7="",$C7=""),0,MAX(0,$B7+2-V7+IF($C7&lt;=V$3,1,0)+IF($C7+18&lt;=V$3,1,0)+IF($C7+36&lt;=V$3,1,0)))</f>
        <v/>
      </c>
      <c r="X7" s="11" t="n"/>
      <c r="Y7" s="18">
        <f>IF(OR(N(X7)=0,$B7="",$C7=""),0,MAX(0,$B7+2-X7+IF($C7&lt;=X$3,1,0)+IF($C7+18&lt;=X$3,1,0)+IF($C7+36&lt;=X$3,1,0)))</f>
        <v/>
      </c>
      <c r="Z7" s="11" t="n"/>
      <c r="AA7" s="18">
        <f>IF(OR(N(Z7)=0,$B7="",$C7=""),0,MAX(0,$B7+2-Z7+IF($C7&lt;=Z$3,1,0)+IF($C7+18&lt;=Z$3,1,0)+IF($C7+36&lt;=Z$3,1,0)))</f>
        <v/>
      </c>
      <c r="AB7" s="11" t="n"/>
      <c r="AC7" s="18">
        <f>IF(OR(N(AB7)=0,$B7="",$C7=""),0,MAX(0,$B7+2-AB7+IF($C7&lt;=AB$3,1,0)+IF($C7+18&lt;=AB$3,1,0)+IF($C7+36&lt;=AB$3,1,0)))</f>
        <v/>
      </c>
      <c r="AD7" s="11" t="n"/>
      <c r="AE7" s="18">
        <f>IF(OR(N(AD7)=0,$B7="",$C7=""),0,MAX(0,$B7+2-AD7+IF($C7&lt;=AD$3,1,0)+IF($C7+18&lt;=AD$3,1,0)+IF($C7+36&lt;=AD$3,1,0)))</f>
        <v/>
      </c>
      <c r="AF7" s="11" t="n"/>
      <c r="AG7" s="18">
        <f>IF(OR(N(AF7)=0,$B7="",$C7=""),0,MAX(0,$B7+2-AF7+IF($C7&lt;=AF$3,1,0)+IF($C7+18&lt;=AF$3,1,0)+IF($C7+36&lt;=AF$3,1,0)))</f>
        <v/>
      </c>
      <c r="AH7" s="11" t="n"/>
      <c r="AI7" s="18">
        <f>IF(OR(N(AH7)=0,$B7="",$C7=""),0,MAX(0,$B7+2-AH7+IF($C7&lt;=AH$3,1,0)+IF($C7+18&lt;=AH$3,1,0)+IF($C7+36&lt;=AH$3,1,0)))</f>
        <v/>
      </c>
      <c r="AJ7" s="11" t="n"/>
      <c r="AK7" s="18">
        <f>IF(OR(N(AJ7)=0,$B7="",$C7=""),0,MAX(0,$B7+2-AJ7+IF($C7&lt;=AJ$3,1,0)+IF($C7+18&lt;=AJ$3,1,0)+IF($C7+36&lt;=AJ$3,1,0)))</f>
        <v/>
      </c>
      <c r="AL7" s="11" t="n"/>
      <c r="AM7" s="18">
        <f>IF(OR(N(AL7)=0,$B7="",$C7=""),0,MAX(0,$B7+2-AL7+IF($C7&lt;=AL$3,1,0)+IF($C7+18&lt;=AL$3,1,0)+IF($C7+36&lt;=AL$3,1,0)))</f>
        <v/>
      </c>
      <c r="AN7" s="11" t="n"/>
      <c r="AO7" s="18">
        <f>IF(OR(N(AN7)=0,$B7="",$C7=""),0,MAX(0,$B7+2-AN7+IF($C7&lt;=AN$3,1,0)+IF($C7+18&lt;=AN$3,1,0)+IF($C7+36&lt;=AN$3,1,0)))</f>
        <v/>
      </c>
      <c r="AP7" s="11" t="n"/>
      <c r="AQ7" s="18">
        <f>IF(OR(N(AP7)=0,$B7="",$C7=""),0,MAX(0,$B7+2-AP7+IF($C7&lt;=AP$3,1,0)+IF($C7+18&lt;=AP$3,1,0)+IF($C7+36&lt;=AP$3,1,0)))</f>
        <v/>
      </c>
      <c r="AR7" s="11" t="n"/>
      <c r="AS7" s="18">
        <f>IF(OR(N(AR7)=0,$B7="",$C7=""),0,MAX(0,$B7+2-AR7+IF($C7&lt;=AR$3,1,0)+IF($C7+18&lt;=AR$3,1,0)+IF($C7+36&lt;=AR$3,1,0)))</f>
        <v/>
      </c>
      <c r="AT7" s="11" t="n"/>
      <c r="AU7" s="18">
        <f>IF(OR(N(AT7)=0,$B7="",$C7=""),0,MAX(0,$B7+2-AT7+IF($C7&lt;=AT$3,1,0)+IF($C7+18&lt;=AT$3,1,0)+IF($C7+36&lt;=AT$3,1,0)))</f>
        <v/>
      </c>
      <c r="AV7" s="11" t="n"/>
      <c r="AW7" s="18">
        <f>IF(OR(N(AV7)=0,$B7="",$C7=""),0,MAX(0,$B7+2-AV7+IF($C7&lt;=AV$3,1,0)+IF($C7+18&lt;=AV$3,1,0)+IF($C7+36&lt;=AV$3,1,0)))</f>
        <v/>
      </c>
      <c r="AX7" s="11" t="n"/>
      <c r="AY7" s="18">
        <f>IF(OR(N(AX7)=0,$B7="",$C7=""),0,MAX(0,$B7+2-AX7+IF($C7&lt;=AX$3,1,0)+IF($C7+18&lt;=AX$3,1,0)+IF($C7+36&lt;=AX$3,1,0)))</f>
        <v/>
      </c>
      <c r="AZ7" s="11" t="n"/>
      <c r="BA7" s="18">
        <f>IF(OR(N(AZ7)=0,$B7="",$C7=""),0,MAX(0,$B7+2-AZ7+IF($C7&lt;=AZ$3,1,0)+IF($C7+18&lt;=AZ$3,1,0)+IF($C7+36&lt;=AZ$3,1,0)))</f>
        <v/>
      </c>
      <c r="BB7" s="11" t="n"/>
      <c r="BC7" s="18">
        <f>IF(OR(N(BB7)=0,$B7="",$C7=""),0,MAX(0,$B7+2-BB7+IF($C7&lt;=BB$3,1,0)+IF($C7+18&lt;=BB$3,1,0)+IF($C7+36&lt;=BB$3,1,0)))</f>
        <v/>
      </c>
      <c r="BD7" s="11" t="n"/>
      <c r="BE7" s="18">
        <f>IF(OR(N(BD7)=0,$B7="",$C7=""),0,MAX(0,$B7+2-BD7+IF($C7&lt;=BD$3,1,0)+IF($C7+18&lt;=BD$3,1,0)+IF($C7+36&lt;=BD$3,1,0)))</f>
        <v/>
      </c>
      <c r="BF7" s="11" t="n"/>
      <c r="BG7" s="18">
        <f>IF(OR(N(BF7)=0,$B7="",$C7=""),0,MAX(0,$B7+2-BF7+IF($C7&lt;=BF$3,1,0)+IF($C7+18&lt;=BF$3,1,0)+IF($C7+36&lt;=BF$3,1,0)))</f>
        <v/>
      </c>
      <c r="BH7" s="11" t="n"/>
      <c r="BI7" s="18">
        <f>IF(OR(N(BH7)=0,$B7="",$C7=""),0,MAX(0,$B7+2-BH7+IF($C7&lt;=BH$3,1,0)+IF($C7+18&lt;=BH$3,1,0)+IF($C7+36&lt;=BH$3,1,0)))</f>
        <v/>
      </c>
      <c r="BJ7" s="11" t="n"/>
      <c r="BK7" s="18">
        <f>IF(OR(N(BJ7)=0,$B7="",$C7=""),0,MAX(0,$B7+2-BJ7+IF($C7&lt;=BJ$3,1,0)+IF($C7+18&lt;=BJ$3,1,0)+IF($C7+36&lt;=BJ$3,1,0)))</f>
        <v/>
      </c>
      <c r="BL7" s="11" t="n"/>
      <c r="BM7" s="18">
        <f>IF(OR(N(BL7)=0,$B7="",$C7=""),0,MAX(0,$B7+2-BL7+IF($C7&lt;=BL$3,1,0)+IF($C7+18&lt;=BL$3,1,0)+IF($C7+36&lt;=BL$3,1,0)))</f>
        <v/>
      </c>
      <c r="BN7" s="11" t="n"/>
      <c r="BO7" s="18">
        <f>IF(OR(N(BN7)=0,$B7="",$C7=""),0,MAX(0,$B7+2-BN7+IF($C7&lt;=BN$3,1,0)+IF($C7+18&lt;=BN$3,1,0)+IF($C7+36&lt;=BN$3,1,0)))</f>
        <v/>
      </c>
    </row>
    <row r="8">
      <c r="A8" s="10" t="n">
        <v>4</v>
      </c>
      <c r="B8" s="27">
        <f>IF(Setup!Y$9="","",Setup!Y$9)</f>
        <v/>
      </c>
      <c r="C8" s="27">
        <f>IF(Setup!Z$9="","",Setup!Z$9)</f>
        <v/>
      </c>
      <c r="D8" s="11" t="n"/>
      <c r="E8" s="18">
        <f>IF(OR(N(D8)=0,$B8="",$C8=""),0,MAX(0,$B8+2-D8+IF($C8&lt;=D$3,1,0)+IF($C8+18&lt;=D$3,1,0)+IF($C8+36&lt;=D$3,1,0)))</f>
        <v/>
      </c>
      <c r="F8" s="11" t="n"/>
      <c r="G8" s="18">
        <f>IF(OR(N(F8)=0,$B8="",$C8=""),0,MAX(0,$B8+2-F8+IF($C8&lt;=F$3,1,0)+IF($C8+18&lt;=F$3,1,0)+IF($C8+36&lt;=F$3,1,0)))</f>
        <v/>
      </c>
      <c r="H8" s="11" t="n"/>
      <c r="I8" s="18">
        <f>IF(OR(N(H8)=0,$B8="",$C8=""),0,MAX(0,$B8+2-H8+IF($C8&lt;=H$3,1,0)+IF($C8+18&lt;=H$3,1,0)+IF($C8+36&lt;=H$3,1,0)))</f>
        <v/>
      </c>
      <c r="J8" s="11" t="n"/>
      <c r="K8" s="18">
        <f>IF(OR(N(J8)=0,$B8="",$C8=""),0,MAX(0,$B8+2-J8+IF($C8&lt;=J$3,1,0)+IF($C8+18&lt;=J$3,1,0)+IF($C8+36&lt;=J$3,1,0)))</f>
        <v/>
      </c>
      <c r="L8" s="11" t="n"/>
      <c r="M8" s="18">
        <f>IF(OR(N(L8)=0,$B8="",$C8=""),0,MAX(0,$B8+2-L8+IF($C8&lt;=L$3,1,0)+IF($C8+18&lt;=L$3,1,0)+IF($C8+36&lt;=L$3,1,0)))</f>
        <v/>
      </c>
      <c r="N8" s="11" t="n"/>
      <c r="O8" s="18">
        <f>IF(OR(N(N8)=0,$B8="",$C8=""),0,MAX(0,$B8+2-N8+IF($C8&lt;=N$3,1,0)+IF($C8+18&lt;=N$3,1,0)+IF($C8+36&lt;=N$3,1,0)))</f>
        <v/>
      </c>
      <c r="P8" s="11" t="n"/>
      <c r="Q8" s="18">
        <f>IF(OR(N(P8)=0,$B8="",$C8=""),0,MAX(0,$B8+2-P8+IF($C8&lt;=P$3,1,0)+IF($C8+18&lt;=P$3,1,0)+IF($C8+36&lt;=P$3,1,0)))</f>
        <v/>
      </c>
      <c r="R8" s="11" t="n"/>
      <c r="S8" s="18">
        <f>IF(OR(N(R8)=0,$B8="",$C8=""),0,MAX(0,$B8+2-R8+IF($C8&lt;=R$3,1,0)+IF($C8+18&lt;=R$3,1,0)+IF($C8+36&lt;=R$3,1,0)))</f>
        <v/>
      </c>
      <c r="T8" s="11" t="n"/>
      <c r="U8" s="18">
        <f>IF(OR(N(T8)=0,$B8="",$C8=""),0,MAX(0,$B8+2-T8+IF($C8&lt;=T$3,1,0)+IF($C8+18&lt;=T$3,1,0)+IF($C8+36&lt;=T$3,1,0)))</f>
        <v/>
      </c>
      <c r="V8" s="11" t="n"/>
      <c r="W8" s="18">
        <f>IF(OR(N(V8)=0,$B8="",$C8=""),0,MAX(0,$B8+2-V8+IF($C8&lt;=V$3,1,0)+IF($C8+18&lt;=V$3,1,0)+IF($C8+36&lt;=V$3,1,0)))</f>
        <v/>
      </c>
      <c r="X8" s="11" t="n"/>
      <c r="Y8" s="18">
        <f>IF(OR(N(X8)=0,$B8="",$C8=""),0,MAX(0,$B8+2-X8+IF($C8&lt;=X$3,1,0)+IF($C8+18&lt;=X$3,1,0)+IF($C8+36&lt;=X$3,1,0)))</f>
        <v/>
      </c>
      <c r="Z8" s="11" t="n"/>
      <c r="AA8" s="18">
        <f>IF(OR(N(Z8)=0,$B8="",$C8=""),0,MAX(0,$B8+2-Z8+IF($C8&lt;=Z$3,1,0)+IF($C8+18&lt;=Z$3,1,0)+IF($C8+36&lt;=Z$3,1,0)))</f>
        <v/>
      </c>
      <c r="AB8" s="11" t="n"/>
      <c r="AC8" s="18">
        <f>IF(OR(N(AB8)=0,$B8="",$C8=""),0,MAX(0,$B8+2-AB8+IF($C8&lt;=AB$3,1,0)+IF($C8+18&lt;=AB$3,1,0)+IF($C8+36&lt;=AB$3,1,0)))</f>
        <v/>
      </c>
      <c r="AD8" s="11" t="n"/>
      <c r="AE8" s="18">
        <f>IF(OR(N(AD8)=0,$B8="",$C8=""),0,MAX(0,$B8+2-AD8+IF($C8&lt;=AD$3,1,0)+IF($C8+18&lt;=AD$3,1,0)+IF($C8+36&lt;=AD$3,1,0)))</f>
        <v/>
      </c>
      <c r="AF8" s="11" t="n"/>
      <c r="AG8" s="18">
        <f>IF(OR(N(AF8)=0,$B8="",$C8=""),0,MAX(0,$B8+2-AF8+IF($C8&lt;=AF$3,1,0)+IF($C8+18&lt;=AF$3,1,0)+IF($C8+36&lt;=AF$3,1,0)))</f>
        <v/>
      </c>
      <c r="AH8" s="11" t="n"/>
      <c r="AI8" s="18">
        <f>IF(OR(N(AH8)=0,$B8="",$C8=""),0,MAX(0,$B8+2-AH8+IF($C8&lt;=AH$3,1,0)+IF($C8+18&lt;=AH$3,1,0)+IF($C8+36&lt;=AH$3,1,0)))</f>
        <v/>
      </c>
      <c r="AJ8" s="11" t="n"/>
      <c r="AK8" s="18">
        <f>IF(OR(N(AJ8)=0,$B8="",$C8=""),0,MAX(0,$B8+2-AJ8+IF($C8&lt;=AJ$3,1,0)+IF($C8+18&lt;=AJ$3,1,0)+IF($C8+36&lt;=AJ$3,1,0)))</f>
        <v/>
      </c>
      <c r="AL8" s="11" t="n"/>
      <c r="AM8" s="18">
        <f>IF(OR(N(AL8)=0,$B8="",$C8=""),0,MAX(0,$B8+2-AL8+IF($C8&lt;=AL$3,1,0)+IF($C8+18&lt;=AL$3,1,0)+IF($C8+36&lt;=AL$3,1,0)))</f>
        <v/>
      </c>
      <c r="AN8" s="11" t="n"/>
      <c r="AO8" s="18">
        <f>IF(OR(N(AN8)=0,$B8="",$C8=""),0,MAX(0,$B8+2-AN8+IF($C8&lt;=AN$3,1,0)+IF($C8+18&lt;=AN$3,1,0)+IF($C8+36&lt;=AN$3,1,0)))</f>
        <v/>
      </c>
      <c r="AP8" s="11" t="n"/>
      <c r="AQ8" s="18">
        <f>IF(OR(N(AP8)=0,$B8="",$C8=""),0,MAX(0,$B8+2-AP8+IF($C8&lt;=AP$3,1,0)+IF($C8+18&lt;=AP$3,1,0)+IF($C8+36&lt;=AP$3,1,0)))</f>
        <v/>
      </c>
      <c r="AR8" s="11" t="n"/>
      <c r="AS8" s="18">
        <f>IF(OR(N(AR8)=0,$B8="",$C8=""),0,MAX(0,$B8+2-AR8+IF($C8&lt;=AR$3,1,0)+IF($C8+18&lt;=AR$3,1,0)+IF($C8+36&lt;=AR$3,1,0)))</f>
        <v/>
      </c>
      <c r="AT8" s="11" t="n"/>
      <c r="AU8" s="18">
        <f>IF(OR(N(AT8)=0,$B8="",$C8=""),0,MAX(0,$B8+2-AT8+IF($C8&lt;=AT$3,1,0)+IF($C8+18&lt;=AT$3,1,0)+IF($C8+36&lt;=AT$3,1,0)))</f>
        <v/>
      </c>
      <c r="AV8" s="11" t="n"/>
      <c r="AW8" s="18">
        <f>IF(OR(N(AV8)=0,$B8="",$C8=""),0,MAX(0,$B8+2-AV8+IF($C8&lt;=AV$3,1,0)+IF($C8+18&lt;=AV$3,1,0)+IF($C8+36&lt;=AV$3,1,0)))</f>
        <v/>
      </c>
      <c r="AX8" s="11" t="n"/>
      <c r="AY8" s="18">
        <f>IF(OR(N(AX8)=0,$B8="",$C8=""),0,MAX(0,$B8+2-AX8+IF($C8&lt;=AX$3,1,0)+IF($C8+18&lt;=AX$3,1,0)+IF($C8+36&lt;=AX$3,1,0)))</f>
        <v/>
      </c>
      <c r="AZ8" s="11" t="n"/>
      <c r="BA8" s="18">
        <f>IF(OR(N(AZ8)=0,$B8="",$C8=""),0,MAX(0,$B8+2-AZ8+IF($C8&lt;=AZ$3,1,0)+IF($C8+18&lt;=AZ$3,1,0)+IF($C8+36&lt;=AZ$3,1,0)))</f>
        <v/>
      </c>
      <c r="BB8" s="11" t="n"/>
      <c r="BC8" s="18">
        <f>IF(OR(N(BB8)=0,$B8="",$C8=""),0,MAX(0,$B8+2-BB8+IF($C8&lt;=BB$3,1,0)+IF($C8+18&lt;=BB$3,1,0)+IF($C8+36&lt;=BB$3,1,0)))</f>
        <v/>
      </c>
      <c r="BD8" s="11" t="n"/>
      <c r="BE8" s="18">
        <f>IF(OR(N(BD8)=0,$B8="",$C8=""),0,MAX(0,$B8+2-BD8+IF($C8&lt;=BD$3,1,0)+IF($C8+18&lt;=BD$3,1,0)+IF($C8+36&lt;=BD$3,1,0)))</f>
        <v/>
      </c>
      <c r="BF8" s="11" t="n"/>
      <c r="BG8" s="18">
        <f>IF(OR(N(BF8)=0,$B8="",$C8=""),0,MAX(0,$B8+2-BF8+IF($C8&lt;=BF$3,1,0)+IF($C8+18&lt;=BF$3,1,0)+IF($C8+36&lt;=BF$3,1,0)))</f>
        <v/>
      </c>
      <c r="BH8" s="11" t="n"/>
      <c r="BI8" s="18">
        <f>IF(OR(N(BH8)=0,$B8="",$C8=""),0,MAX(0,$B8+2-BH8+IF($C8&lt;=BH$3,1,0)+IF($C8+18&lt;=BH$3,1,0)+IF($C8+36&lt;=BH$3,1,0)))</f>
        <v/>
      </c>
      <c r="BJ8" s="11" t="n"/>
      <c r="BK8" s="18">
        <f>IF(OR(N(BJ8)=0,$B8="",$C8=""),0,MAX(0,$B8+2-BJ8+IF($C8&lt;=BJ$3,1,0)+IF($C8+18&lt;=BJ$3,1,0)+IF($C8+36&lt;=BJ$3,1,0)))</f>
        <v/>
      </c>
      <c r="BL8" s="11" t="n"/>
      <c r="BM8" s="18">
        <f>IF(OR(N(BL8)=0,$B8="",$C8=""),0,MAX(0,$B8+2-BL8+IF($C8&lt;=BL$3,1,0)+IF($C8+18&lt;=BL$3,1,0)+IF($C8+36&lt;=BL$3,1,0)))</f>
        <v/>
      </c>
      <c r="BN8" s="11" t="n"/>
      <c r="BO8" s="18">
        <f>IF(OR(N(BN8)=0,$B8="",$C8=""),0,MAX(0,$B8+2-BN8+IF($C8&lt;=BN$3,1,0)+IF($C8+18&lt;=BN$3,1,0)+IF($C8+36&lt;=BN$3,1,0)))</f>
        <v/>
      </c>
    </row>
    <row r="9">
      <c r="A9" s="10" t="n">
        <v>5</v>
      </c>
      <c r="B9" s="27">
        <f>IF(Setup!Y$10="","",Setup!Y$10)</f>
        <v/>
      </c>
      <c r="C9" s="27">
        <f>IF(Setup!Z$10="","",Setup!Z$10)</f>
        <v/>
      </c>
      <c r="D9" s="11" t="n"/>
      <c r="E9" s="18">
        <f>IF(OR(N(D9)=0,$B9="",$C9=""),0,MAX(0,$B9+2-D9+IF($C9&lt;=D$3,1,0)+IF($C9+18&lt;=D$3,1,0)+IF($C9+36&lt;=D$3,1,0)))</f>
        <v/>
      </c>
      <c r="F9" s="11" t="n"/>
      <c r="G9" s="18">
        <f>IF(OR(N(F9)=0,$B9="",$C9=""),0,MAX(0,$B9+2-F9+IF($C9&lt;=F$3,1,0)+IF($C9+18&lt;=F$3,1,0)+IF($C9+36&lt;=F$3,1,0)))</f>
        <v/>
      </c>
      <c r="H9" s="11" t="n"/>
      <c r="I9" s="18">
        <f>IF(OR(N(H9)=0,$B9="",$C9=""),0,MAX(0,$B9+2-H9+IF($C9&lt;=H$3,1,0)+IF($C9+18&lt;=H$3,1,0)+IF($C9+36&lt;=H$3,1,0)))</f>
        <v/>
      </c>
      <c r="J9" s="11" t="n"/>
      <c r="K9" s="18">
        <f>IF(OR(N(J9)=0,$B9="",$C9=""),0,MAX(0,$B9+2-J9+IF($C9&lt;=J$3,1,0)+IF($C9+18&lt;=J$3,1,0)+IF($C9+36&lt;=J$3,1,0)))</f>
        <v/>
      </c>
      <c r="L9" s="11" t="n"/>
      <c r="M9" s="18">
        <f>IF(OR(N(L9)=0,$B9="",$C9=""),0,MAX(0,$B9+2-L9+IF($C9&lt;=L$3,1,0)+IF($C9+18&lt;=L$3,1,0)+IF($C9+36&lt;=L$3,1,0)))</f>
        <v/>
      </c>
      <c r="N9" s="11" t="n"/>
      <c r="O9" s="18">
        <f>IF(OR(N(N9)=0,$B9="",$C9=""),0,MAX(0,$B9+2-N9+IF($C9&lt;=N$3,1,0)+IF($C9+18&lt;=N$3,1,0)+IF($C9+36&lt;=N$3,1,0)))</f>
        <v/>
      </c>
      <c r="P9" s="11" t="n"/>
      <c r="Q9" s="18">
        <f>IF(OR(N(P9)=0,$B9="",$C9=""),0,MAX(0,$B9+2-P9+IF($C9&lt;=P$3,1,0)+IF($C9+18&lt;=P$3,1,0)+IF($C9+36&lt;=P$3,1,0)))</f>
        <v/>
      </c>
      <c r="R9" s="11" t="n"/>
      <c r="S9" s="18">
        <f>IF(OR(N(R9)=0,$B9="",$C9=""),0,MAX(0,$B9+2-R9+IF($C9&lt;=R$3,1,0)+IF($C9+18&lt;=R$3,1,0)+IF($C9+36&lt;=R$3,1,0)))</f>
        <v/>
      </c>
      <c r="T9" s="11" t="n"/>
      <c r="U9" s="18">
        <f>IF(OR(N(T9)=0,$B9="",$C9=""),0,MAX(0,$B9+2-T9+IF($C9&lt;=T$3,1,0)+IF($C9+18&lt;=T$3,1,0)+IF($C9+36&lt;=T$3,1,0)))</f>
        <v/>
      </c>
      <c r="V9" s="11" t="n"/>
      <c r="W9" s="18">
        <f>IF(OR(N(V9)=0,$B9="",$C9=""),0,MAX(0,$B9+2-V9+IF($C9&lt;=V$3,1,0)+IF($C9+18&lt;=V$3,1,0)+IF($C9+36&lt;=V$3,1,0)))</f>
        <v/>
      </c>
      <c r="X9" s="11" t="n"/>
      <c r="Y9" s="18">
        <f>IF(OR(N(X9)=0,$B9="",$C9=""),0,MAX(0,$B9+2-X9+IF($C9&lt;=X$3,1,0)+IF($C9+18&lt;=X$3,1,0)+IF($C9+36&lt;=X$3,1,0)))</f>
        <v/>
      </c>
      <c r="Z9" s="11" t="n"/>
      <c r="AA9" s="18">
        <f>IF(OR(N(Z9)=0,$B9="",$C9=""),0,MAX(0,$B9+2-Z9+IF($C9&lt;=Z$3,1,0)+IF($C9+18&lt;=Z$3,1,0)+IF($C9+36&lt;=Z$3,1,0)))</f>
        <v/>
      </c>
      <c r="AB9" s="11" t="n"/>
      <c r="AC9" s="18">
        <f>IF(OR(N(AB9)=0,$B9="",$C9=""),0,MAX(0,$B9+2-AB9+IF($C9&lt;=AB$3,1,0)+IF($C9+18&lt;=AB$3,1,0)+IF($C9+36&lt;=AB$3,1,0)))</f>
        <v/>
      </c>
      <c r="AD9" s="11" t="n"/>
      <c r="AE9" s="18">
        <f>IF(OR(N(AD9)=0,$B9="",$C9=""),0,MAX(0,$B9+2-AD9+IF($C9&lt;=AD$3,1,0)+IF($C9+18&lt;=AD$3,1,0)+IF($C9+36&lt;=AD$3,1,0)))</f>
        <v/>
      </c>
      <c r="AF9" s="11" t="n"/>
      <c r="AG9" s="18">
        <f>IF(OR(N(AF9)=0,$B9="",$C9=""),0,MAX(0,$B9+2-AF9+IF($C9&lt;=AF$3,1,0)+IF($C9+18&lt;=AF$3,1,0)+IF($C9+36&lt;=AF$3,1,0)))</f>
        <v/>
      </c>
      <c r="AH9" s="11" t="n"/>
      <c r="AI9" s="18">
        <f>IF(OR(N(AH9)=0,$B9="",$C9=""),0,MAX(0,$B9+2-AH9+IF($C9&lt;=AH$3,1,0)+IF($C9+18&lt;=AH$3,1,0)+IF($C9+36&lt;=AH$3,1,0)))</f>
        <v/>
      </c>
      <c r="AJ9" s="11" t="n"/>
      <c r="AK9" s="18">
        <f>IF(OR(N(AJ9)=0,$B9="",$C9=""),0,MAX(0,$B9+2-AJ9+IF($C9&lt;=AJ$3,1,0)+IF($C9+18&lt;=AJ$3,1,0)+IF($C9+36&lt;=AJ$3,1,0)))</f>
        <v/>
      </c>
      <c r="AL9" s="11" t="n"/>
      <c r="AM9" s="18">
        <f>IF(OR(N(AL9)=0,$B9="",$C9=""),0,MAX(0,$B9+2-AL9+IF($C9&lt;=AL$3,1,0)+IF($C9+18&lt;=AL$3,1,0)+IF($C9+36&lt;=AL$3,1,0)))</f>
        <v/>
      </c>
      <c r="AN9" s="11" t="n"/>
      <c r="AO9" s="18">
        <f>IF(OR(N(AN9)=0,$B9="",$C9=""),0,MAX(0,$B9+2-AN9+IF($C9&lt;=AN$3,1,0)+IF($C9+18&lt;=AN$3,1,0)+IF($C9+36&lt;=AN$3,1,0)))</f>
        <v/>
      </c>
      <c r="AP9" s="11" t="n"/>
      <c r="AQ9" s="18">
        <f>IF(OR(N(AP9)=0,$B9="",$C9=""),0,MAX(0,$B9+2-AP9+IF($C9&lt;=AP$3,1,0)+IF($C9+18&lt;=AP$3,1,0)+IF($C9+36&lt;=AP$3,1,0)))</f>
        <v/>
      </c>
      <c r="AR9" s="11" t="n"/>
      <c r="AS9" s="18">
        <f>IF(OR(N(AR9)=0,$B9="",$C9=""),0,MAX(0,$B9+2-AR9+IF($C9&lt;=AR$3,1,0)+IF($C9+18&lt;=AR$3,1,0)+IF($C9+36&lt;=AR$3,1,0)))</f>
        <v/>
      </c>
      <c r="AT9" s="11" t="n"/>
      <c r="AU9" s="18">
        <f>IF(OR(N(AT9)=0,$B9="",$C9=""),0,MAX(0,$B9+2-AT9+IF($C9&lt;=AT$3,1,0)+IF($C9+18&lt;=AT$3,1,0)+IF($C9+36&lt;=AT$3,1,0)))</f>
        <v/>
      </c>
      <c r="AV9" s="11" t="n"/>
      <c r="AW9" s="18">
        <f>IF(OR(N(AV9)=0,$B9="",$C9=""),0,MAX(0,$B9+2-AV9+IF($C9&lt;=AV$3,1,0)+IF($C9+18&lt;=AV$3,1,0)+IF($C9+36&lt;=AV$3,1,0)))</f>
        <v/>
      </c>
      <c r="AX9" s="11" t="n"/>
      <c r="AY9" s="18">
        <f>IF(OR(N(AX9)=0,$B9="",$C9=""),0,MAX(0,$B9+2-AX9+IF($C9&lt;=AX$3,1,0)+IF($C9+18&lt;=AX$3,1,0)+IF($C9+36&lt;=AX$3,1,0)))</f>
        <v/>
      </c>
      <c r="AZ9" s="11" t="n"/>
      <c r="BA9" s="18">
        <f>IF(OR(N(AZ9)=0,$B9="",$C9=""),0,MAX(0,$B9+2-AZ9+IF($C9&lt;=AZ$3,1,0)+IF($C9+18&lt;=AZ$3,1,0)+IF($C9+36&lt;=AZ$3,1,0)))</f>
        <v/>
      </c>
      <c r="BB9" s="11" t="n"/>
      <c r="BC9" s="18">
        <f>IF(OR(N(BB9)=0,$B9="",$C9=""),0,MAX(0,$B9+2-BB9+IF($C9&lt;=BB$3,1,0)+IF($C9+18&lt;=BB$3,1,0)+IF($C9+36&lt;=BB$3,1,0)))</f>
        <v/>
      </c>
      <c r="BD9" s="11" t="n"/>
      <c r="BE9" s="18">
        <f>IF(OR(N(BD9)=0,$B9="",$C9=""),0,MAX(0,$B9+2-BD9+IF($C9&lt;=BD$3,1,0)+IF($C9+18&lt;=BD$3,1,0)+IF($C9+36&lt;=BD$3,1,0)))</f>
        <v/>
      </c>
      <c r="BF9" s="11" t="n"/>
      <c r="BG9" s="18">
        <f>IF(OR(N(BF9)=0,$B9="",$C9=""),0,MAX(0,$B9+2-BF9+IF($C9&lt;=BF$3,1,0)+IF($C9+18&lt;=BF$3,1,0)+IF($C9+36&lt;=BF$3,1,0)))</f>
        <v/>
      </c>
      <c r="BH9" s="11" t="n"/>
      <c r="BI9" s="18">
        <f>IF(OR(N(BH9)=0,$B9="",$C9=""),0,MAX(0,$B9+2-BH9+IF($C9&lt;=BH$3,1,0)+IF($C9+18&lt;=BH$3,1,0)+IF($C9+36&lt;=BH$3,1,0)))</f>
        <v/>
      </c>
      <c r="BJ9" s="11" t="n"/>
      <c r="BK9" s="18">
        <f>IF(OR(N(BJ9)=0,$B9="",$C9=""),0,MAX(0,$B9+2-BJ9+IF($C9&lt;=BJ$3,1,0)+IF($C9+18&lt;=BJ$3,1,0)+IF($C9+36&lt;=BJ$3,1,0)))</f>
        <v/>
      </c>
      <c r="BL9" s="11" t="n"/>
      <c r="BM9" s="18">
        <f>IF(OR(N(BL9)=0,$B9="",$C9=""),0,MAX(0,$B9+2-BL9+IF($C9&lt;=BL$3,1,0)+IF($C9+18&lt;=BL$3,1,0)+IF($C9+36&lt;=BL$3,1,0)))</f>
        <v/>
      </c>
      <c r="BN9" s="11" t="n"/>
      <c r="BO9" s="18">
        <f>IF(OR(N(BN9)=0,$B9="",$C9=""),0,MAX(0,$B9+2-BN9+IF($C9&lt;=BN$3,1,0)+IF($C9+18&lt;=BN$3,1,0)+IF($C9+36&lt;=BN$3,1,0)))</f>
        <v/>
      </c>
    </row>
    <row r="10">
      <c r="A10" s="10" t="n">
        <v>6</v>
      </c>
      <c r="B10" s="27">
        <f>IF(Setup!Y$11="","",Setup!Y$11)</f>
        <v/>
      </c>
      <c r="C10" s="27">
        <f>IF(Setup!Z$11="","",Setup!Z$11)</f>
        <v/>
      </c>
      <c r="D10" s="11" t="n"/>
      <c r="E10" s="18">
        <f>IF(OR(N(D10)=0,$B10="",$C10=""),0,MAX(0,$B10+2-D10+IF($C10&lt;=D$3,1,0)+IF($C10+18&lt;=D$3,1,0)+IF($C10+36&lt;=D$3,1,0)))</f>
        <v/>
      </c>
      <c r="F10" s="11" t="n"/>
      <c r="G10" s="18">
        <f>IF(OR(N(F10)=0,$B10="",$C10=""),0,MAX(0,$B10+2-F10+IF($C10&lt;=F$3,1,0)+IF($C10+18&lt;=F$3,1,0)+IF($C10+36&lt;=F$3,1,0)))</f>
        <v/>
      </c>
      <c r="H10" s="11" t="n"/>
      <c r="I10" s="18">
        <f>IF(OR(N(H10)=0,$B10="",$C10=""),0,MAX(0,$B10+2-H10+IF($C10&lt;=H$3,1,0)+IF($C10+18&lt;=H$3,1,0)+IF($C10+36&lt;=H$3,1,0)))</f>
        <v/>
      </c>
      <c r="J10" s="11" t="n"/>
      <c r="K10" s="18">
        <f>IF(OR(N(J10)=0,$B10="",$C10=""),0,MAX(0,$B10+2-J10+IF($C10&lt;=J$3,1,0)+IF($C10+18&lt;=J$3,1,0)+IF($C10+36&lt;=J$3,1,0)))</f>
        <v/>
      </c>
      <c r="L10" s="11" t="n"/>
      <c r="M10" s="18">
        <f>IF(OR(N(L10)=0,$B10="",$C10=""),0,MAX(0,$B10+2-L10+IF($C10&lt;=L$3,1,0)+IF($C10+18&lt;=L$3,1,0)+IF($C10+36&lt;=L$3,1,0)))</f>
        <v/>
      </c>
      <c r="N10" s="11" t="n"/>
      <c r="O10" s="18">
        <f>IF(OR(N(N10)=0,$B10="",$C10=""),0,MAX(0,$B10+2-N10+IF($C10&lt;=N$3,1,0)+IF($C10+18&lt;=N$3,1,0)+IF($C10+36&lt;=N$3,1,0)))</f>
        <v/>
      </c>
      <c r="P10" s="11" t="n"/>
      <c r="Q10" s="18">
        <f>IF(OR(N(P10)=0,$B10="",$C10=""),0,MAX(0,$B10+2-P10+IF($C10&lt;=P$3,1,0)+IF($C10+18&lt;=P$3,1,0)+IF($C10+36&lt;=P$3,1,0)))</f>
        <v/>
      </c>
      <c r="R10" s="11" t="n"/>
      <c r="S10" s="18">
        <f>IF(OR(N(R10)=0,$B10="",$C10=""),0,MAX(0,$B10+2-R10+IF($C10&lt;=R$3,1,0)+IF($C10+18&lt;=R$3,1,0)+IF($C10+36&lt;=R$3,1,0)))</f>
        <v/>
      </c>
      <c r="T10" s="11" t="n"/>
      <c r="U10" s="18">
        <f>IF(OR(N(T10)=0,$B10="",$C10=""),0,MAX(0,$B10+2-T10+IF($C10&lt;=T$3,1,0)+IF($C10+18&lt;=T$3,1,0)+IF($C10+36&lt;=T$3,1,0)))</f>
        <v/>
      </c>
      <c r="V10" s="11" t="n"/>
      <c r="W10" s="18">
        <f>IF(OR(N(V10)=0,$B10="",$C10=""),0,MAX(0,$B10+2-V10+IF($C10&lt;=V$3,1,0)+IF($C10+18&lt;=V$3,1,0)+IF($C10+36&lt;=V$3,1,0)))</f>
        <v/>
      </c>
      <c r="X10" s="11" t="n"/>
      <c r="Y10" s="18">
        <f>IF(OR(N(X10)=0,$B10="",$C10=""),0,MAX(0,$B10+2-X10+IF($C10&lt;=X$3,1,0)+IF($C10+18&lt;=X$3,1,0)+IF($C10+36&lt;=X$3,1,0)))</f>
        <v/>
      </c>
      <c r="Z10" s="11" t="n"/>
      <c r="AA10" s="18">
        <f>IF(OR(N(Z10)=0,$B10="",$C10=""),0,MAX(0,$B10+2-Z10+IF($C10&lt;=Z$3,1,0)+IF($C10+18&lt;=Z$3,1,0)+IF($C10+36&lt;=Z$3,1,0)))</f>
        <v/>
      </c>
      <c r="AB10" s="11" t="n"/>
      <c r="AC10" s="18">
        <f>IF(OR(N(AB10)=0,$B10="",$C10=""),0,MAX(0,$B10+2-AB10+IF($C10&lt;=AB$3,1,0)+IF($C10+18&lt;=AB$3,1,0)+IF($C10+36&lt;=AB$3,1,0)))</f>
        <v/>
      </c>
      <c r="AD10" s="11" t="n"/>
      <c r="AE10" s="18">
        <f>IF(OR(N(AD10)=0,$B10="",$C10=""),0,MAX(0,$B10+2-AD10+IF($C10&lt;=AD$3,1,0)+IF($C10+18&lt;=AD$3,1,0)+IF($C10+36&lt;=AD$3,1,0)))</f>
        <v/>
      </c>
      <c r="AF10" s="11" t="n"/>
      <c r="AG10" s="18">
        <f>IF(OR(N(AF10)=0,$B10="",$C10=""),0,MAX(0,$B10+2-AF10+IF($C10&lt;=AF$3,1,0)+IF($C10+18&lt;=AF$3,1,0)+IF($C10+36&lt;=AF$3,1,0)))</f>
        <v/>
      </c>
      <c r="AH10" s="11" t="n"/>
      <c r="AI10" s="18">
        <f>IF(OR(N(AH10)=0,$B10="",$C10=""),0,MAX(0,$B10+2-AH10+IF($C10&lt;=AH$3,1,0)+IF($C10+18&lt;=AH$3,1,0)+IF($C10+36&lt;=AH$3,1,0)))</f>
        <v/>
      </c>
      <c r="AJ10" s="11" t="n"/>
      <c r="AK10" s="18">
        <f>IF(OR(N(AJ10)=0,$B10="",$C10=""),0,MAX(0,$B10+2-AJ10+IF($C10&lt;=AJ$3,1,0)+IF($C10+18&lt;=AJ$3,1,0)+IF($C10+36&lt;=AJ$3,1,0)))</f>
        <v/>
      </c>
      <c r="AL10" s="11" t="n"/>
      <c r="AM10" s="18">
        <f>IF(OR(N(AL10)=0,$B10="",$C10=""),0,MAX(0,$B10+2-AL10+IF($C10&lt;=AL$3,1,0)+IF($C10+18&lt;=AL$3,1,0)+IF($C10+36&lt;=AL$3,1,0)))</f>
        <v/>
      </c>
      <c r="AN10" s="11" t="n"/>
      <c r="AO10" s="18">
        <f>IF(OR(N(AN10)=0,$B10="",$C10=""),0,MAX(0,$B10+2-AN10+IF($C10&lt;=AN$3,1,0)+IF($C10+18&lt;=AN$3,1,0)+IF($C10+36&lt;=AN$3,1,0)))</f>
        <v/>
      </c>
      <c r="AP10" s="11" t="n"/>
      <c r="AQ10" s="18">
        <f>IF(OR(N(AP10)=0,$B10="",$C10=""),0,MAX(0,$B10+2-AP10+IF($C10&lt;=AP$3,1,0)+IF($C10+18&lt;=AP$3,1,0)+IF($C10+36&lt;=AP$3,1,0)))</f>
        <v/>
      </c>
      <c r="AR10" s="11" t="n"/>
      <c r="AS10" s="18">
        <f>IF(OR(N(AR10)=0,$B10="",$C10=""),0,MAX(0,$B10+2-AR10+IF($C10&lt;=AR$3,1,0)+IF($C10+18&lt;=AR$3,1,0)+IF($C10+36&lt;=AR$3,1,0)))</f>
        <v/>
      </c>
      <c r="AT10" s="11" t="n"/>
      <c r="AU10" s="18">
        <f>IF(OR(N(AT10)=0,$B10="",$C10=""),0,MAX(0,$B10+2-AT10+IF($C10&lt;=AT$3,1,0)+IF($C10+18&lt;=AT$3,1,0)+IF($C10+36&lt;=AT$3,1,0)))</f>
        <v/>
      </c>
      <c r="AV10" s="11" t="n"/>
      <c r="AW10" s="18">
        <f>IF(OR(N(AV10)=0,$B10="",$C10=""),0,MAX(0,$B10+2-AV10+IF($C10&lt;=AV$3,1,0)+IF($C10+18&lt;=AV$3,1,0)+IF($C10+36&lt;=AV$3,1,0)))</f>
        <v/>
      </c>
      <c r="AX10" s="11" t="n"/>
      <c r="AY10" s="18">
        <f>IF(OR(N(AX10)=0,$B10="",$C10=""),0,MAX(0,$B10+2-AX10+IF($C10&lt;=AX$3,1,0)+IF($C10+18&lt;=AX$3,1,0)+IF($C10+36&lt;=AX$3,1,0)))</f>
        <v/>
      </c>
      <c r="AZ10" s="11" t="n"/>
      <c r="BA10" s="18">
        <f>IF(OR(N(AZ10)=0,$B10="",$C10=""),0,MAX(0,$B10+2-AZ10+IF($C10&lt;=AZ$3,1,0)+IF($C10+18&lt;=AZ$3,1,0)+IF($C10+36&lt;=AZ$3,1,0)))</f>
        <v/>
      </c>
      <c r="BB10" s="11" t="n"/>
      <c r="BC10" s="18">
        <f>IF(OR(N(BB10)=0,$B10="",$C10=""),0,MAX(0,$B10+2-BB10+IF($C10&lt;=BB$3,1,0)+IF($C10+18&lt;=BB$3,1,0)+IF($C10+36&lt;=BB$3,1,0)))</f>
        <v/>
      </c>
      <c r="BD10" s="11" t="n"/>
      <c r="BE10" s="18">
        <f>IF(OR(N(BD10)=0,$B10="",$C10=""),0,MAX(0,$B10+2-BD10+IF($C10&lt;=BD$3,1,0)+IF($C10+18&lt;=BD$3,1,0)+IF($C10+36&lt;=BD$3,1,0)))</f>
        <v/>
      </c>
      <c r="BF10" s="11" t="n"/>
      <c r="BG10" s="18">
        <f>IF(OR(N(BF10)=0,$B10="",$C10=""),0,MAX(0,$B10+2-BF10+IF($C10&lt;=BF$3,1,0)+IF($C10+18&lt;=BF$3,1,0)+IF($C10+36&lt;=BF$3,1,0)))</f>
        <v/>
      </c>
      <c r="BH10" s="11" t="n"/>
      <c r="BI10" s="18">
        <f>IF(OR(N(BH10)=0,$B10="",$C10=""),0,MAX(0,$B10+2-BH10+IF($C10&lt;=BH$3,1,0)+IF($C10+18&lt;=BH$3,1,0)+IF($C10+36&lt;=BH$3,1,0)))</f>
        <v/>
      </c>
      <c r="BJ10" s="11" t="n"/>
      <c r="BK10" s="18">
        <f>IF(OR(N(BJ10)=0,$B10="",$C10=""),0,MAX(0,$B10+2-BJ10+IF($C10&lt;=BJ$3,1,0)+IF($C10+18&lt;=BJ$3,1,0)+IF($C10+36&lt;=BJ$3,1,0)))</f>
        <v/>
      </c>
      <c r="BL10" s="11" t="n"/>
      <c r="BM10" s="18">
        <f>IF(OR(N(BL10)=0,$B10="",$C10=""),0,MAX(0,$B10+2-BL10+IF($C10&lt;=BL$3,1,0)+IF($C10+18&lt;=BL$3,1,0)+IF($C10+36&lt;=BL$3,1,0)))</f>
        <v/>
      </c>
      <c r="BN10" s="11" t="n"/>
      <c r="BO10" s="18">
        <f>IF(OR(N(BN10)=0,$B10="",$C10=""),0,MAX(0,$B10+2-BN10+IF($C10&lt;=BN$3,1,0)+IF($C10+18&lt;=BN$3,1,0)+IF($C10+36&lt;=BN$3,1,0)))</f>
        <v/>
      </c>
    </row>
    <row r="11">
      <c r="A11" s="10" t="n">
        <v>7</v>
      </c>
      <c r="B11" s="27">
        <f>IF(Setup!Y$12="","",Setup!Y$12)</f>
        <v/>
      </c>
      <c r="C11" s="27">
        <f>IF(Setup!Z$12="","",Setup!Z$12)</f>
        <v/>
      </c>
      <c r="D11" s="11" t="n"/>
      <c r="E11" s="18">
        <f>IF(OR(N(D11)=0,$B11="",$C11=""),0,MAX(0,$B11+2-D11+IF($C11&lt;=D$3,1,0)+IF($C11+18&lt;=D$3,1,0)+IF($C11+36&lt;=D$3,1,0)))</f>
        <v/>
      </c>
      <c r="F11" s="11" t="n"/>
      <c r="G11" s="18">
        <f>IF(OR(N(F11)=0,$B11="",$C11=""),0,MAX(0,$B11+2-F11+IF($C11&lt;=F$3,1,0)+IF($C11+18&lt;=F$3,1,0)+IF($C11+36&lt;=F$3,1,0)))</f>
        <v/>
      </c>
      <c r="H11" s="11" t="n"/>
      <c r="I11" s="18">
        <f>IF(OR(N(H11)=0,$B11="",$C11=""),0,MAX(0,$B11+2-H11+IF($C11&lt;=H$3,1,0)+IF($C11+18&lt;=H$3,1,0)+IF($C11+36&lt;=H$3,1,0)))</f>
        <v/>
      </c>
      <c r="J11" s="11" t="n"/>
      <c r="K11" s="18">
        <f>IF(OR(N(J11)=0,$B11="",$C11=""),0,MAX(0,$B11+2-J11+IF($C11&lt;=J$3,1,0)+IF($C11+18&lt;=J$3,1,0)+IF($C11+36&lt;=J$3,1,0)))</f>
        <v/>
      </c>
      <c r="L11" s="11" t="n"/>
      <c r="M11" s="18">
        <f>IF(OR(N(L11)=0,$B11="",$C11=""),0,MAX(0,$B11+2-L11+IF($C11&lt;=L$3,1,0)+IF($C11+18&lt;=L$3,1,0)+IF($C11+36&lt;=L$3,1,0)))</f>
        <v/>
      </c>
      <c r="N11" s="11" t="n"/>
      <c r="O11" s="18">
        <f>IF(OR(N(N11)=0,$B11="",$C11=""),0,MAX(0,$B11+2-N11+IF($C11&lt;=N$3,1,0)+IF($C11+18&lt;=N$3,1,0)+IF($C11+36&lt;=N$3,1,0)))</f>
        <v/>
      </c>
      <c r="P11" s="11" t="n"/>
      <c r="Q11" s="18">
        <f>IF(OR(N(P11)=0,$B11="",$C11=""),0,MAX(0,$B11+2-P11+IF($C11&lt;=P$3,1,0)+IF($C11+18&lt;=P$3,1,0)+IF($C11+36&lt;=P$3,1,0)))</f>
        <v/>
      </c>
      <c r="R11" s="11" t="n"/>
      <c r="S11" s="18">
        <f>IF(OR(N(R11)=0,$B11="",$C11=""),0,MAX(0,$B11+2-R11+IF($C11&lt;=R$3,1,0)+IF($C11+18&lt;=R$3,1,0)+IF($C11+36&lt;=R$3,1,0)))</f>
        <v/>
      </c>
      <c r="T11" s="11" t="n"/>
      <c r="U11" s="18">
        <f>IF(OR(N(T11)=0,$B11="",$C11=""),0,MAX(0,$B11+2-T11+IF($C11&lt;=T$3,1,0)+IF($C11+18&lt;=T$3,1,0)+IF($C11+36&lt;=T$3,1,0)))</f>
        <v/>
      </c>
      <c r="V11" s="11" t="n"/>
      <c r="W11" s="18">
        <f>IF(OR(N(V11)=0,$B11="",$C11=""),0,MAX(0,$B11+2-V11+IF($C11&lt;=V$3,1,0)+IF($C11+18&lt;=V$3,1,0)+IF($C11+36&lt;=V$3,1,0)))</f>
        <v/>
      </c>
      <c r="X11" s="11" t="n"/>
      <c r="Y11" s="18">
        <f>IF(OR(N(X11)=0,$B11="",$C11=""),0,MAX(0,$B11+2-X11+IF($C11&lt;=X$3,1,0)+IF($C11+18&lt;=X$3,1,0)+IF($C11+36&lt;=X$3,1,0)))</f>
        <v/>
      </c>
      <c r="Z11" s="11" t="n"/>
      <c r="AA11" s="18">
        <f>IF(OR(N(Z11)=0,$B11="",$C11=""),0,MAX(0,$B11+2-Z11+IF($C11&lt;=Z$3,1,0)+IF($C11+18&lt;=Z$3,1,0)+IF($C11+36&lt;=Z$3,1,0)))</f>
        <v/>
      </c>
      <c r="AB11" s="11" t="n"/>
      <c r="AC11" s="18">
        <f>IF(OR(N(AB11)=0,$B11="",$C11=""),0,MAX(0,$B11+2-AB11+IF($C11&lt;=AB$3,1,0)+IF($C11+18&lt;=AB$3,1,0)+IF($C11+36&lt;=AB$3,1,0)))</f>
        <v/>
      </c>
      <c r="AD11" s="11" t="n"/>
      <c r="AE11" s="18">
        <f>IF(OR(N(AD11)=0,$B11="",$C11=""),0,MAX(0,$B11+2-AD11+IF($C11&lt;=AD$3,1,0)+IF($C11+18&lt;=AD$3,1,0)+IF($C11+36&lt;=AD$3,1,0)))</f>
        <v/>
      </c>
      <c r="AF11" s="11" t="n"/>
      <c r="AG11" s="18">
        <f>IF(OR(N(AF11)=0,$B11="",$C11=""),0,MAX(0,$B11+2-AF11+IF($C11&lt;=AF$3,1,0)+IF($C11+18&lt;=AF$3,1,0)+IF($C11+36&lt;=AF$3,1,0)))</f>
        <v/>
      </c>
      <c r="AH11" s="11" t="n"/>
      <c r="AI11" s="18">
        <f>IF(OR(N(AH11)=0,$B11="",$C11=""),0,MAX(0,$B11+2-AH11+IF($C11&lt;=AH$3,1,0)+IF($C11+18&lt;=AH$3,1,0)+IF($C11+36&lt;=AH$3,1,0)))</f>
        <v/>
      </c>
      <c r="AJ11" s="11" t="n"/>
      <c r="AK11" s="18">
        <f>IF(OR(N(AJ11)=0,$B11="",$C11=""),0,MAX(0,$B11+2-AJ11+IF($C11&lt;=AJ$3,1,0)+IF($C11+18&lt;=AJ$3,1,0)+IF($C11+36&lt;=AJ$3,1,0)))</f>
        <v/>
      </c>
      <c r="AL11" s="11" t="n"/>
      <c r="AM11" s="18">
        <f>IF(OR(N(AL11)=0,$B11="",$C11=""),0,MAX(0,$B11+2-AL11+IF($C11&lt;=AL$3,1,0)+IF($C11+18&lt;=AL$3,1,0)+IF($C11+36&lt;=AL$3,1,0)))</f>
        <v/>
      </c>
      <c r="AN11" s="11" t="n"/>
      <c r="AO11" s="18">
        <f>IF(OR(N(AN11)=0,$B11="",$C11=""),0,MAX(0,$B11+2-AN11+IF($C11&lt;=AN$3,1,0)+IF($C11+18&lt;=AN$3,1,0)+IF($C11+36&lt;=AN$3,1,0)))</f>
        <v/>
      </c>
      <c r="AP11" s="11" t="n"/>
      <c r="AQ11" s="18">
        <f>IF(OR(N(AP11)=0,$B11="",$C11=""),0,MAX(0,$B11+2-AP11+IF($C11&lt;=AP$3,1,0)+IF($C11+18&lt;=AP$3,1,0)+IF($C11+36&lt;=AP$3,1,0)))</f>
        <v/>
      </c>
      <c r="AR11" s="11" t="n"/>
      <c r="AS11" s="18">
        <f>IF(OR(N(AR11)=0,$B11="",$C11=""),0,MAX(0,$B11+2-AR11+IF($C11&lt;=AR$3,1,0)+IF($C11+18&lt;=AR$3,1,0)+IF($C11+36&lt;=AR$3,1,0)))</f>
        <v/>
      </c>
      <c r="AT11" s="11" t="n"/>
      <c r="AU11" s="18">
        <f>IF(OR(N(AT11)=0,$B11="",$C11=""),0,MAX(0,$B11+2-AT11+IF($C11&lt;=AT$3,1,0)+IF($C11+18&lt;=AT$3,1,0)+IF($C11+36&lt;=AT$3,1,0)))</f>
        <v/>
      </c>
      <c r="AV11" s="11" t="n"/>
      <c r="AW11" s="18">
        <f>IF(OR(N(AV11)=0,$B11="",$C11=""),0,MAX(0,$B11+2-AV11+IF($C11&lt;=AV$3,1,0)+IF($C11+18&lt;=AV$3,1,0)+IF($C11+36&lt;=AV$3,1,0)))</f>
        <v/>
      </c>
      <c r="AX11" s="11" t="n"/>
      <c r="AY11" s="18">
        <f>IF(OR(N(AX11)=0,$B11="",$C11=""),0,MAX(0,$B11+2-AX11+IF($C11&lt;=AX$3,1,0)+IF($C11+18&lt;=AX$3,1,0)+IF($C11+36&lt;=AX$3,1,0)))</f>
        <v/>
      </c>
      <c r="AZ11" s="11" t="n"/>
      <c r="BA11" s="18">
        <f>IF(OR(N(AZ11)=0,$B11="",$C11=""),0,MAX(0,$B11+2-AZ11+IF($C11&lt;=AZ$3,1,0)+IF($C11+18&lt;=AZ$3,1,0)+IF($C11+36&lt;=AZ$3,1,0)))</f>
        <v/>
      </c>
      <c r="BB11" s="11" t="n"/>
      <c r="BC11" s="18">
        <f>IF(OR(N(BB11)=0,$B11="",$C11=""),0,MAX(0,$B11+2-BB11+IF($C11&lt;=BB$3,1,0)+IF($C11+18&lt;=BB$3,1,0)+IF($C11+36&lt;=BB$3,1,0)))</f>
        <v/>
      </c>
      <c r="BD11" s="11" t="n"/>
      <c r="BE11" s="18">
        <f>IF(OR(N(BD11)=0,$B11="",$C11=""),0,MAX(0,$B11+2-BD11+IF($C11&lt;=BD$3,1,0)+IF($C11+18&lt;=BD$3,1,0)+IF($C11+36&lt;=BD$3,1,0)))</f>
        <v/>
      </c>
      <c r="BF11" s="11" t="n"/>
      <c r="BG11" s="18">
        <f>IF(OR(N(BF11)=0,$B11="",$C11=""),0,MAX(0,$B11+2-BF11+IF($C11&lt;=BF$3,1,0)+IF($C11+18&lt;=BF$3,1,0)+IF($C11+36&lt;=BF$3,1,0)))</f>
        <v/>
      </c>
      <c r="BH11" s="11" t="n"/>
      <c r="BI11" s="18">
        <f>IF(OR(N(BH11)=0,$B11="",$C11=""),0,MAX(0,$B11+2-BH11+IF($C11&lt;=BH$3,1,0)+IF($C11+18&lt;=BH$3,1,0)+IF($C11+36&lt;=BH$3,1,0)))</f>
        <v/>
      </c>
      <c r="BJ11" s="11" t="n"/>
      <c r="BK11" s="18">
        <f>IF(OR(N(BJ11)=0,$B11="",$C11=""),0,MAX(0,$B11+2-BJ11+IF($C11&lt;=BJ$3,1,0)+IF($C11+18&lt;=BJ$3,1,0)+IF($C11+36&lt;=BJ$3,1,0)))</f>
        <v/>
      </c>
      <c r="BL11" s="11" t="n"/>
      <c r="BM11" s="18">
        <f>IF(OR(N(BL11)=0,$B11="",$C11=""),0,MAX(0,$B11+2-BL11+IF($C11&lt;=BL$3,1,0)+IF($C11+18&lt;=BL$3,1,0)+IF($C11+36&lt;=BL$3,1,0)))</f>
        <v/>
      </c>
      <c r="BN11" s="11" t="n"/>
      <c r="BO11" s="18">
        <f>IF(OR(N(BN11)=0,$B11="",$C11=""),0,MAX(0,$B11+2-BN11+IF($C11&lt;=BN$3,1,0)+IF($C11+18&lt;=BN$3,1,0)+IF($C11+36&lt;=BN$3,1,0)))</f>
        <v/>
      </c>
    </row>
    <row r="12">
      <c r="A12" s="10" t="n">
        <v>8</v>
      </c>
      <c r="B12" s="27">
        <f>IF(Setup!Y$13="","",Setup!Y$13)</f>
        <v/>
      </c>
      <c r="C12" s="27">
        <f>IF(Setup!Z$13="","",Setup!Z$13)</f>
        <v/>
      </c>
      <c r="D12" s="11" t="n"/>
      <c r="E12" s="18">
        <f>IF(OR(N(D12)=0,$B12="",$C12=""),0,MAX(0,$B12+2-D12+IF($C12&lt;=D$3,1,0)+IF($C12+18&lt;=D$3,1,0)+IF($C12+36&lt;=D$3,1,0)))</f>
        <v/>
      </c>
      <c r="F12" s="11" t="n"/>
      <c r="G12" s="18">
        <f>IF(OR(N(F12)=0,$B12="",$C12=""),0,MAX(0,$B12+2-F12+IF($C12&lt;=F$3,1,0)+IF($C12+18&lt;=F$3,1,0)+IF($C12+36&lt;=F$3,1,0)))</f>
        <v/>
      </c>
      <c r="H12" s="11" t="n"/>
      <c r="I12" s="18">
        <f>IF(OR(N(H12)=0,$B12="",$C12=""),0,MAX(0,$B12+2-H12+IF($C12&lt;=H$3,1,0)+IF($C12+18&lt;=H$3,1,0)+IF($C12+36&lt;=H$3,1,0)))</f>
        <v/>
      </c>
      <c r="J12" s="11" t="n"/>
      <c r="K12" s="18">
        <f>IF(OR(N(J12)=0,$B12="",$C12=""),0,MAX(0,$B12+2-J12+IF($C12&lt;=J$3,1,0)+IF($C12+18&lt;=J$3,1,0)+IF($C12+36&lt;=J$3,1,0)))</f>
        <v/>
      </c>
      <c r="L12" s="11" t="n"/>
      <c r="M12" s="18">
        <f>IF(OR(N(L12)=0,$B12="",$C12=""),0,MAX(0,$B12+2-L12+IF($C12&lt;=L$3,1,0)+IF($C12+18&lt;=L$3,1,0)+IF($C12+36&lt;=L$3,1,0)))</f>
        <v/>
      </c>
      <c r="N12" s="11" t="n"/>
      <c r="O12" s="18">
        <f>IF(OR(N(N12)=0,$B12="",$C12=""),0,MAX(0,$B12+2-N12+IF($C12&lt;=N$3,1,0)+IF($C12+18&lt;=N$3,1,0)+IF($C12+36&lt;=N$3,1,0)))</f>
        <v/>
      </c>
      <c r="P12" s="11" t="n"/>
      <c r="Q12" s="18">
        <f>IF(OR(N(P12)=0,$B12="",$C12=""),0,MAX(0,$B12+2-P12+IF($C12&lt;=P$3,1,0)+IF($C12+18&lt;=P$3,1,0)+IF($C12+36&lt;=P$3,1,0)))</f>
        <v/>
      </c>
      <c r="R12" s="11" t="n"/>
      <c r="S12" s="18">
        <f>IF(OR(N(R12)=0,$B12="",$C12=""),0,MAX(0,$B12+2-R12+IF($C12&lt;=R$3,1,0)+IF($C12+18&lt;=R$3,1,0)+IF($C12+36&lt;=R$3,1,0)))</f>
        <v/>
      </c>
      <c r="T12" s="11" t="n"/>
      <c r="U12" s="18">
        <f>IF(OR(N(T12)=0,$B12="",$C12=""),0,MAX(0,$B12+2-T12+IF($C12&lt;=T$3,1,0)+IF($C12+18&lt;=T$3,1,0)+IF($C12+36&lt;=T$3,1,0)))</f>
        <v/>
      </c>
      <c r="V12" s="11" t="n"/>
      <c r="W12" s="18">
        <f>IF(OR(N(V12)=0,$B12="",$C12=""),0,MAX(0,$B12+2-V12+IF($C12&lt;=V$3,1,0)+IF($C12+18&lt;=V$3,1,0)+IF($C12+36&lt;=V$3,1,0)))</f>
        <v/>
      </c>
      <c r="X12" s="11" t="n"/>
      <c r="Y12" s="18">
        <f>IF(OR(N(X12)=0,$B12="",$C12=""),0,MAX(0,$B12+2-X12+IF($C12&lt;=X$3,1,0)+IF($C12+18&lt;=X$3,1,0)+IF($C12+36&lt;=X$3,1,0)))</f>
        <v/>
      </c>
      <c r="Z12" s="11" t="n"/>
      <c r="AA12" s="18">
        <f>IF(OR(N(Z12)=0,$B12="",$C12=""),0,MAX(0,$B12+2-Z12+IF($C12&lt;=Z$3,1,0)+IF($C12+18&lt;=Z$3,1,0)+IF($C12+36&lt;=Z$3,1,0)))</f>
        <v/>
      </c>
      <c r="AB12" s="11" t="n"/>
      <c r="AC12" s="18">
        <f>IF(OR(N(AB12)=0,$B12="",$C12=""),0,MAX(0,$B12+2-AB12+IF($C12&lt;=AB$3,1,0)+IF($C12+18&lt;=AB$3,1,0)+IF($C12+36&lt;=AB$3,1,0)))</f>
        <v/>
      </c>
      <c r="AD12" s="11" t="n"/>
      <c r="AE12" s="18">
        <f>IF(OR(N(AD12)=0,$B12="",$C12=""),0,MAX(0,$B12+2-AD12+IF($C12&lt;=AD$3,1,0)+IF($C12+18&lt;=AD$3,1,0)+IF($C12+36&lt;=AD$3,1,0)))</f>
        <v/>
      </c>
      <c r="AF12" s="11" t="n"/>
      <c r="AG12" s="18">
        <f>IF(OR(N(AF12)=0,$B12="",$C12=""),0,MAX(0,$B12+2-AF12+IF($C12&lt;=AF$3,1,0)+IF($C12+18&lt;=AF$3,1,0)+IF($C12+36&lt;=AF$3,1,0)))</f>
        <v/>
      </c>
      <c r="AH12" s="11" t="n"/>
      <c r="AI12" s="18">
        <f>IF(OR(N(AH12)=0,$B12="",$C12=""),0,MAX(0,$B12+2-AH12+IF($C12&lt;=AH$3,1,0)+IF($C12+18&lt;=AH$3,1,0)+IF($C12+36&lt;=AH$3,1,0)))</f>
        <v/>
      </c>
      <c r="AJ12" s="11" t="n"/>
      <c r="AK12" s="18">
        <f>IF(OR(N(AJ12)=0,$B12="",$C12=""),0,MAX(0,$B12+2-AJ12+IF($C12&lt;=AJ$3,1,0)+IF($C12+18&lt;=AJ$3,1,0)+IF($C12+36&lt;=AJ$3,1,0)))</f>
        <v/>
      </c>
      <c r="AL12" s="11" t="n"/>
      <c r="AM12" s="18">
        <f>IF(OR(N(AL12)=0,$B12="",$C12=""),0,MAX(0,$B12+2-AL12+IF($C12&lt;=AL$3,1,0)+IF($C12+18&lt;=AL$3,1,0)+IF($C12+36&lt;=AL$3,1,0)))</f>
        <v/>
      </c>
      <c r="AN12" s="11" t="n"/>
      <c r="AO12" s="18">
        <f>IF(OR(N(AN12)=0,$B12="",$C12=""),0,MAX(0,$B12+2-AN12+IF($C12&lt;=AN$3,1,0)+IF($C12+18&lt;=AN$3,1,0)+IF($C12+36&lt;=AN$3,1,0)))</f>
        <v/>
      </c>
      <c r="AP12" s="11" t="n"/>
      <c r="AQ12" s="18">
        <f>IF(OR(N(AP12)=0,$B12="",$C12=""),0,MAX(0,$B12+2-AP12+IF($C12&lt;=AP$3,1,0)+IF($C12+18&lt;=AP$3,1,0)+IF($C12+36&lt;=AP$3,1,0)))</f>
        <v/>
      </c>
      <c r="AR12" s="11" t="n"/>
      <c r="AS12" s="18">
        <f>IF(OR(N(AR12)=0,$B12="",$C12=""),0,MAX(0,$B12+2-AR12+IF($C12&lt;=AR$3,1,0)+IF($C12+18&lt;=AR$3,1,0)+IF($C12+36&lt;=AR$3,1,0)))</f>
        <v/>
      </c>
      <c r="AT12" s="11" t="n"/>
      <c r="AU12" s="18">
        <f>IF(OR(N(AT12)=0,$B12="",$C12=""),0,MAX(0,$B12+2-AT12+IF($C12&lt;=AT$3,1,0)+IF($C12+18&lt;=AT$3,1,0)+IF($C12+36&lt;=AT$3,1,0)))</f>
        <v/>
      </c>
      <c r="AV12" s="11" t="n"/>
      <c r="AW12" s="18">
        <f>IF(OR(N(AV12)=0,$B12="",$C12=""),0,MAX(0,$B12+2-AV12+IF($C12&lt;=AV$3,1,0)+IF($C12+18&lt;=AV$3,1,0)+IF($C12+36&lt;=AV$3,1,0)))</f>
        <v/>
      </c>
      <c r="AX12" s="11" t="n"/>
      <c r="AY12" s="18">
        <f>IF(OR(N(AX12)=0,$B12="",$C12=""),0,MAX(0,$B12+2-AX12+IF($C12&lt;=AX$3,1,0)+IF($C12+18&lt;=AX$3,1,0)+IF($C12+36&lt;=AX$3,1,0)))</f>
        <v/>
      </c>
      <c r="AZ12" s="11" t="n"/>
      <c r="BA12" s="18">
        <f>IF(OR(N(AZ12)=0,$B12="",$C12=""),0,MAX(0,$B12+2-AZ12+IF($C12&lt;=AZ$3,1,0)+IF($C12+18&lt;=AZ$3,1,0)+IF($C12+36&lt;=AZ$3,1,0)))</f>
        <v/>
      </c>
      <c r="BB12" s="11" t="n"/>
      <c r="BC12" s="18">
        <f>IF(OR(N(BB12)=0,$B12="",$C12=""),0,MAX(0,$B12+2-BB12+IF($C12&lt;=BB$3,1,0)+IF($C12+18&lt;=BB$3,1,0)+IF($C12+36&lt;=BB$3,1,0)))</f>
        <v/>
      </c>
      <c r="BD12" s="11" t="n"/>
      <c r="BE12" s="18">
        <f>IF(OR(N(BD12)=0,$B12="",$C12=""),0,MAX(0,$B12+2-BD12+IF($C12&lt;=BD$3,1,0)+IF($C12+18&lt;=BD$3,1,0)+IF($C12+36&lt;=BD$3,1,0)))</f>
        <v/>
      </c>
      <c r="BF12" s="11" t="n"/>
      <c r="BG12" s="18">
        <f>IF(OR(N(BF12)=0,$B12="",$C12=""),0,MAX(0,$B12+2-BF12+IF($C12&lt;=BF$3,1,0)+IF($C12+18&lt;=BF$3,1,0)+IF($C12+36&lt;=BF$3,1,0)))</f>
        <v/>
      </c>
      <c r="BH12" s="11" t="n"/>
      <c r="BI12" s="18">
        <f>IF(OR(N(BH12)=0,$B12="",$C12=""),0,MAX(0,$B12+2-BH12+IF($C12&lt;=BH$3,1,0)+IF($C12+18&lt;=BH$3,1,0)+IF($C12+36&lt;=BH$3,1,0)))</f>
        <v/>
      </c>
      <c r="BJ12" s="11" t="n"/>
      <c r="BK12" s="18">
        <f>IF(OR(N(BJ12)=0,$B12="",$C12=""),0,MAX(0,$B12+2-BJ12+IF($C12&lt;=BJ$3,1,0)+IF($C12+18&lt;=BJ$3,1,0)+IF($C12+36&lt;=BJ$3,1,0)))</f>
        <v/>
      </c>
      <c r="BL12" s="11" t="n"/>
      <c r="BM12" s="18">
        <f>IF(OR(N(BL12)=0,$B12="",$C12=""),0,MAX(0,$B12+2-BL12+IF($C12&lt;=BL$3,1,0)+IF($C12+18&lt;=BL$3,1,0)+IF($C12+36&lt;=BL$3,1,0)))</f>
        <v/>
      </c>
      <c r="BN12" s="11" t="n"/>
      <c r="BO12" s="18">
        <f>IF(OR(N(BN12)=0,$B12="",$C12=""),0,MAX(0,$B12+2-BN12+IF($C12&lt;=BN$3,1,0)+IF($C12+18&lt;=BN$3,1,0)+IF($C12+36&lt;=BN$3,1,0)))</f>
        <v/>
      </c>
    </row>
    <row r="13">
      <c r="A13" s="10" t="n">
        <v>9</v>
      </c>
      <c r="B13" s="27">
        <f>IF(Setup!Y$14="","",Setup!Y$14)</f>
        <v/>
      </c>
      <c r="C13" s="27">
        <f>IF(Setup!Z$14="","",Setup!Z$14)</f>
        <v/>
      </c>
      <c r="D13" s="11" t="n"/>
      <c r="E13" s="18">
        <f>IF(OR(N(D13)=0,$B13="",$C13=""),0,MAX(0,$B13+2-D13+IF($C13&lt;=D$3,1,0)+IF($C13+18&lt;=D$3,1,0)+IF($C13+36&lt;=D$3,1,0)))</f>
        <v/>
      </c>
      <c r="F13" s="11" t="n"/>
      <c r="G13" s="18">
        <f>IF(OR(N(F13)=0,$B13="",$C13=""),0,MAX(0,$B13+2-F13+IF($C13&lt;=F$3,1,0)+IF($C13+18&lt;=F$3,1,0)+IF($C13+36&lt;=F$3,1,0)))</f>
        <v/>
      </c>
      <c r="H13" s="11" t="n"/>
      <c r="I13" s="18">
        <f>IF(OR(N(H13)=0,$B13="",$C13=""),0,MAX(0,$B13+2-H13+IF($C13&lt;=H$3,1,0)+IF($C13+18&lt;=H$3,1,0)+IF($C13+36&lt;=H$3,1,0)))</f>
        <v/>
      </c>
      <c r="J13" s="11" t="n"/>
      <c r="K13" s="18">
        <f>IF(OR(N(J13)=0,$B13="",$C13=""),0,MAX(0,$B13+2-J13+IF($C13&lt;=J$3,1,0)+IF($C13+18&lt;=J$3,1,0)+IF($C13+36&lt;=J$3,1,0)))</f>
        <v/>
      </c>
      <c r="L13" s="11" t="n"/>
      <c r="M13" s="18">
        <f>IF(OR(N(L13)=0,$B13="",$C13=""),0,MAX(0,$B13+2-L13+IF($C13&lt;=L$3,1,0)+IF($C13+18&lt;=L$3,1,0)+IF($C13+36&lt;=L$3,1,0)))</f>
        <v/>
      </c>
      <c r="N13" s="11" t="n"/>
      <c r="O13" s="18">
        <f>IF(OR(N(N13)=0,$B13="",$C13=""),0,MAX(0,$B13+2-N13+IF($C13&lt;=N$3,1,0)+IF($C13+18&lt;=N$3,1,0)+IF($C13+36&lt;=N$3,1,0)))</f>
        <v/>
      </c>
      <c r="P13" s="11" t="n"/>
      <c r="Q13" s="18">
        <f>IF(OR(N(P13)=0,$B13="",$C13=""),0,MAX(0,$B13+2-P13+IF($C13&lt;=P$3,1,0)+IF($C13+18&lt;=P$3,1,0)+IF($C13+36&lt;=P$3,1,0)))</f>
        <v/>
      </c>
      <c r="R13" s="11" t="n"/>
      <c r="S13" s="18">
        <f>IF(OR(N(R13)=0,$B13="",$C13=""),0,MAX(0,$B13+2-R13+IF($C13&lt;=R$3,1,0)+IF($C13+18&lt;=R$3,1,0)+IF($C13+36&lt;=R$3,1,0)))</f>
        <v/>
      </c>
      <c r="T13" s="11" t="n"/>
      <c r="U13" s="18">
        <f>IF(OR(N(T13)=0,$B13="",$C13=""),0,MAX(0,$B13+2-T13+IF($C13&lt;=T$3,1,0)+IF($C13+18&lt;=T$3,1,0)+IF($C13+36&lt;=T$3,1,0)))</f>
        <v/>
      </c>
      <c r="V13" s="11" t="n"/>
      <c r="W13" s="18">
        <f>IF(OR(N(V13)=0,$B13="",$C13=""),0,MAX(0,$B13+2-V13+IF($C13&lt;=V$3,1,0)+IF($C13+18&lt;=V$3,1,0)+IF($C13+36&lt;=V$3,1,0)))</f>
        <v/>
      </c>
      <c r="X13" s="11" t="n"/>
      <c r="Y13" s="18">
        <f>IF(OR(N(X13)=0,$B13="",$C13=""),0,MAX(0,$B13+2-X13+IF($C13&lt;=X$3,1,0)+IF($C13+18&lt;=X$3,1,0)+IF($C13+36&lt;=X$3,1,0)))</f>
        <v/>
      </c>
      <c r="Z13" s="11" t="n"/>
      <c r="AA13" s="18">
        <f>IF(OR(N(Z13)=0,$B13="",$C13=""),0,MAX(0,$B13+2-Z13+IF($C13&lt;=Z$3,1,0)+IF($C13+18&lt;=Z$3,1,0)+IF($C13+36&lt;=Z$3,1,0)))</f>
        <v/>
      </c>
      <c r="AB13" s="11" t="n"/>
      <c r="AC13" s="18">
        <f>IF(OR(N(AB13)=0,$B13="",$C13=""),0,MAX(0,$B13+2-AB13+IF($C13&lt;=AB$3,1,0)+IF($C13+18&lt;=AB$3,1,0)+IF($C13+36&lt;=AB$3,1,0)))</f>
        <v/>
      </c>
      <c r="AD13" s="11" t="n"/>
      <c r="AE13" s="18">
        <f>IF(OR(N(AD13)=0,$B13="",$C13=""),0,MAX(0,$B13+2-AD13+IF($C13&lt;=AD$3,1,0)+IF($C13+18&lt;=AD$3,1,0)+IF($C13+36&lt;=AD$3,1,0)))</f>
        <v/>
      </c>
      <c r="AF13" s="11" t="n"/>
      <c r="AG13" s="18">
        <f>IF(OR(N(AF13)=0,$B13="",$C13=""),0,MAX(0,$B13+2-AF13+IF($C13&lt;=AF$3,1,0)+IF($C13+18&lt;=AF$3,1,0)+IF($C13+36&lt;=AF$3,1,0)))</f>
        <v/>
      </c>
      <c r="AH13" s="11" t="n"/>
      <c r="AI13" s="18">
        <f>IF(OR(N(AH13)=0,$B13="",$C13=""),0,MAX(0,$B13+2-AH13+IF($C13&lt;=AH$3,1,0)+IF($C13+18&lt;=AH$3,1,0)+IF($C13+36&lt;=AH$3,1,0)))</f>
        <v/>
      </c>
      <c r="AJ13" s="11" t="n"/>
      <c r="AK13" s="18">
        <f>IF(OR(N(AJ13)=0,$B13="",$C13=""),0,MAX(0,$B13+2-AJ13+IF($C13&lt;=AJ$3,1,0)+IF($C13+18&lt;=AJ$3,1,0)+IF($C13+36&lt;=AJ$3,1,0)))</f>
        <v/>
      </c>
      <c r="AL13" s="11" t="n"/>
      <c r="AM13" s="18">
        <f>IF(OR(N(AL13)=0,$B13="",$C13=""),0,MAX(0,$B13+2-AL13+IF($C13&lt;=AL$3,1,0)+IF($C13+18&lt;=AL$3,1,0)+IF($C13+36&lt;=AL$3,1,0)))</f>
        <v/>
      </c>
      <c r="AN13" s="11" t="n"/>
      <c r="AO13" s="18">
        <f>IF(OR(N(AN13)=0,$B13="",$C13=""),0,MAX(0,$B13+2-AN13+IF($C13&lt;=AN$3,1,0)+IF($C13+18&lt;=AN$3,1,0)+IF($C13+36&lt;=AN$3,1,0)))</f>
        <v/>
      </c>
      <c r="AP13" s="11" t="n"/>
      <c r="AQ13" s="18">
        <f>IF(OR(N(AP13)=0,$B13="",$C13=""),0,MAX(0,$B13+2-AP13+IF($C13&lt;=AP$3,1,0)+IF($C13+18&lt;=AP$3,1,0)+IF($C13+36&lt;=AP$3,1,0)))</f>
        <v/>
      </c>
      <c r="AR13" s="11" t="n"/>
      <c r="AS13" s="18">
        <f>IF(OR(N(AR13)=0,$B13="",$C13=""),0,MAX(0,$B13+2-AR13+IF($C13&lt;=AR$3,1,0)+IF($C13+18&lt;=AR$3,1,0)+IF($C13+36&lt;=AR$3,1,0)))</f>
        <v/>
      </c>
      <c r="AT13" s="11" t="n"/>
      <c r="AU13" s="18">
        <f>IF(OR(N(AT13)=0,$B13="",$C13=""),0,MAX(0,$B13+2-AT13+IF($C13&lt;=AT$3,1,0)+IF($C13+18&lt;=AT$3,1,0)+IF($C13+36&lt;=AT$3,1,0)))</f>
        <v/>
      </c>
      <c r="AV13" s="11" t="n"/>
      <c r="AW13" s="18">
        <f>IF(OR(N(AV13)=0,$B13="",$C13=""),0,MAX(0,$B13+2-AV13+IF($C13&lt;=AV$3,1,0)+IF($C13+18&lt;=AV$3,1,0)+IF($C13+36&lt;=AV$3,1,0)))</f>
        <v/>
      </c>
      <c r="AX13" s="11" t="n"/>
      <c r="AY13" s="18">
        <f>IF(OR(N(AX13)=0,$B13="",$C13=""),0,MAX(0,$B13+2-AX13+IF($C13&lt;=AX$3,1,0)+IF($C13+18&lt;=AX$3,1,0)+IF($C13+36&lt;=AX$3,1,0)))</f>
        <v/>
      </c>
      <c r="AZ13" s="11" t="n"/>
      <c r="BA13" s="18">
        <f>IF(OR(N(AZ13)=0,$B13="",$C13=""),0,MAX(0,$B13+2-AZ13+IF($C13&lt;=AZ$3,1,0)+IF($C13+18&lt;=AZ$3,1,0)+IF($C13+36&lt;=AZ$3,1,0)))</f>
        <v/>
      </c>
      <c r="BB13" s="11" t="n"/>
      <c r="BC13" s="18">
        <f>IF(OR(N(BB13)=0,$B13="",$C13=""),0,MAX(0,$B13+2-BB13+IF($C13&lt;=BB$3,1,0)+IF($C13+18&lt;=BB$3,1,0)+IF($C13+36&lt;=BB$3,1,0)))</f>
        <v/>
      </c>
      <c r="BD13" s="11" t="n"/>
      <c r="BE13" s="18">
        <f>IF(OR(N(BD13)=0,$B13="",$C13=""),0,MAX(0,$B13+2-BD13+IF($C13&lt;=BD$3,1,0)+IF($C13+18&lt;=BD$3,1,0)+IF($C13+36&lt;=BD$3,1,0)))</f>
        <v/>
      </c>
      <c r="BF13" s="11" t="n"/>
      <c r="BG13" s="18">
        <f>IF(OR(N(BF13)=0,$B13="",$C13=""),0,MAX(0,$B13+2-BF13+IF($C13&lt;=BF$3,1,0)+IF($C13+18&lt;=BF$3,1,0)+IF($C13+36&lt;=BF$3,1,0)))</f>
        <v/>
      </c>
      <c r="BH13" s="11" t="n"/>
      <c r="BI13" s="18">
        <f>IF(OR(N(BH13)=0,$B13="",$C13=""),0,MAX(0,$B13+2-BH13+IF($C13&lt;=BH$3,1,0)+IF($C13+18&lt;=BH$3,1,0)+IF($C13+36&lt;=BH$3,1,0)))</f>
        <v/>
      </c>
      <c r="BJ13" s="11" t="n"/>
      <c r="BK13" s="18">
        <f>IF(OR(N(BJ13)=0,$B13="",$C13=""),0,MAX(0,$B13+2-BJ13+IF($C13&lt;=BJ$3,1,0)+IF($C13+18&lt;=BJ$3,1,0)+IF($C13+36&lt;=BJ$3,1,0)))</f>
        <v/>
      </c>
      <c r="BL13" s="11" t="n"/>
      <c r="BM13" s="18">
        <f>IF(OR(N(BL13)=0,$B13="",$C13=""),0,MAX(0,$B13+2-BL13+IF($C13&lt;=BL$3,1,0)+IF($C13+18&lt;=BL$3,1,0)+IF($C13+36&lt;=BL$3,1,0)))</f>
        <v/>
      </c>
      <c r="BN13" s="11" t="n"/>
      <c r="BO13" s="18">
        <f>IF(OR(N(BN13)=0,$B13="",$C13=""),0,MAX(0,$B13+2-BN13+IF($C13&lt;=BN$3,1,0)+IF($C13+18&lt;=BN$3,1,0)+IF($C13+36&lt;=BN$3,1,0)))</f>
        <v/>
      </c>
    </row>
    <row r="14">
      <c r="A14" s="14" t="inlineStr">
        <is>
          <t>Out</t>
        </is>
      </c>
      <c r="B14" s="14">
        <f>IF(COUNT(B5:B13)=0,"",SUM(B5:B13))</f>
        <v/>
      </c>
      <c r="C14" s="15" t="n"/>
      <c r="D14" s="14">
        <f>IF(COUNT(D5:D13)=0,"",SUM(D5:D13))</f>
        <v/>
      </c>
      <c r="E14" s="14">
        <f>SUM(E5:E13)</f>
        <v/>
      </c>
      <c r="F14" s="14">
        <f>IF(COUNT(F5:F13)=0,"",SUM(F5:F13))</f>
        <v/>
      </c>
      <c r="G14" s="14">
        <f>SUM(G5:G13)</f>
        <v/>
      </c>
      <c r="H14" s="14">
        <f>IF(COUNT(H5:H13)=0,"",SUM(H5:H13))</f>
        <v/>
      </c>
      <c r="I14" s="14">
        <f>SUM(I5:I13)</f>
        <v/>
      </c>
      <c r="J14" s="14">
        <f>IF(COUNT(J5:J13)=0,"",SUM(J5:J13))</f>
        <v/>
      </c>
      <c r="K14" s="14">
        <f>SUM(K5:K13)</f>
        <v/>
      </c>
      <c r="L14" s="14">
        <f>IF(COUNT(L5:L13)=0,"",SUM(L5:L13))</f>
        <v/>
      </c>
      <c r="M14" s="14">
        <f>SUM(M5:M13)</f>
        <v/>
      </c>
      <c r="N14" s="14">
        <f>IF(COUNT(N5:N13)=0,"",SUM(N5:N13))</f>
        <v/>
      </c>
      <c r="O14" s="14">
        <f>SUM(O5:O13)</f>
        <v/>
      </c>
      <c r="P14" s="14">
        <f>IF(COUNT(P5:P13)=0,"",SUM(P5:P13))</f>
        <v/>
      </c>
      <c r="Q14" s="14">
        <f>SUM(Q5:Q13)</f>
        <v/>
      </c>
      <c r="R14" s="14">
        <f>IF(COUNT(R5:R13)=0,"",SUM(R5:R13))</f>
        <v/>
      </c>
      <c r="S14" s="14">
        <f>SUM(S5:S13)</f>
        <v/>
      </c>
      <c r="T14" s="14">
        <f>IF(COUNT(T5:T13)=0,"",SUM(T5:T13))</f>
        <v/>
      </c>
      <c r="U14" s="14">
        <f>SUM(U5:U13)</f>
        <v/>
      </c>
      <c r="V14" s="14">
        <f>IF(COUNT(V5:V13)=0,"",SUM(V5:V13))</f>
        <v/>
      </c>
      <c r="W14" s="14">
        <f>SUM(W5:W13)</f>
        <v/>
      </c>
      <c r="X14" s="14">
        <f>IF(COUNT(X5:X13)=0,"",SUM(X5:X13))</f>
        <v/>
      </c>
      <c r="Y14" s="14">
        <f>SUM(Y5:Y13)</f>
        <v/>
      </c>
      <c r="Z14" s="14">
        <f>IF(COUNT(Z5:Z13)=0,"",SUM(Z5:Z13))</f>
        <v/>
      </c>
      <c r="AA14" s="14">
        <f>SUM(AA5:AA13)</f>
        <v/>
      </c>
      <c r="AB14" s="14">
        <f>IF(COUNT(AB5:AB13)=0,"",SUM(AB5:AB13))</f>
        <v/>
      </c>
      <c r="AC14" s="14">
        <f>SUM(AC5:AC13)</f>
        <v/>
      </c>
      <c r="AD14" s="14">
        <f>IF(COUNT(AD5:AD13)=0,"",SUM(AD5:AD13))</f>
        <v/>
      </c>
      <c r="AE14" s="14">
        <f>SUM(AE5:AE13)</f>
        <v/>
      </c>
      <c r="AF14" s="14">
        <f>IF(COUNT(AF5:AF13)=0,"",SUM(AF5:AF13))</f>
        <v/>
      </c>
      <c r="AG14" s="14">
        <f>SUM(AG5:AG13)</f>
        <v/>
      </c>
      <c r="AH14" s="14">
        <f>IF(COUNT(AH5:AH13)=0,"",SUM(AH5:AH13))</f>
        <v/>
      </c>
      <c r="AI14" s="14">
        <f>SUM(AI5:AI13)</f>
        <v/>
      </c>
      <c r="AJ14" s="14">
        <f>IF(COUNT(AJ5:AJ13)=0,"",SUM(AJ5:AJ13))</f>
        <v/>
      </c>
      <c r="AK14" s="14">
        <f>SUM(AK5:AK13)</f>
        <v/>
      </c>
      <c r="AL14" s="14">
        <f>IF(COUNT(AL5:AL13)=0,"",SUM(AL5:AL13))</f>
        <v/>
      </c>
      <c r="AM14" s="14">
        <f>SUM(AM5:AM13)</f>
        <v/>
      </c>
      <c r="AN14" s="14">
        <f>IF(COUNT(AN5:AN13)=0,"",SUM(AN5:AN13))</f>
        <v/>
      </c>
      <c r="AO14" s="14">
        <f>SUM(AO5:AO13)</f>
        <v/>
      </c>
      <c r="AP14" s="14">
        <f>IF(COUNT(AP5:AP13)=0,"",SUM(AP5:AP13))</f>
        <v/>
      </c>
      <c r="AQ14" s="14">
        <f>SUM(AQ5:AQ13)</f>
        <v/>
      </c>
      <c r="AR14" s="14">
        <f>IF(COUNT(AR5:AR13)=0,"",SUM(AR5:AR13))</f>
        <v/>
      </c>
      <c r="AS14" s="14">
        <f>SUM(AS5:AS13)</f>
        <v/>
      </c>
      <c r="AT14" s="14">
        <f>IF(COUNT(AT5:AT13)=0,"",SUM(AT5:AT13))</f>
        <v/>
      </c>
      <c r="AU14" s="14">
        <f>SUM(AU5:AU13)</f>
        <v/>
      </c>
      <c r="AV14" s="14">
        <f>IF(COUNT(AV5:AV13)=0,"",SUM(AV5:AV13))</f>
        <v/>
      </c>
      <c r="AW14" s="14">
        <f>SUM(AW5:AW13)</f>
        <v/>
      </c>
      <c r="AX14" s="14">
        <f>IF(COUNT(AX5:AX13)=0,"",SUM(AX5:AX13))</f>
        <v/>
      </c>
      <c r="AY14" s="14">
        <f>SUM(AY5:AY13)</f>
        <v/>
      </c>
      <c r="AZ14" s="14">
        <f>IF(COUNT(AZ5:AZ13)=0,"",SUM(AZ5:AZ13))</f>
        <v/>
      </c>
      <c r="BA14" s="14">
        <f>SUM(BA5:BA13)</f>
        <v/>
      </c>
      <c r="BB14" s="14">
        <f>IF(COUNT(BB5:BB13)=0,"",SUM(BB5:BB13))</f>
        <v/>
      </c>
      <c r="BC14" s="14">
        <f>SUM(BC5:BC13)</f>
        <v/>
      </c>
      <c r="BD14" s="14">
        <f>IF(COUNT(BD5:BD13)=0,"",SUM(BD5:BD13))</f>
        <v/>
      </c>
      <c r="BE14" s="14">
        <f>SUM(BE5:BE13)</f>
        <v/>
      </c>
      <c r="BF14" s="14">
        <f>IF(COUNT(BF5:BF13)=0,"",SUM(BF5:BF13))</f>
        <v/>
      </c>
      <c r="BG14" s="14">
        <f>SUM(BG5:BG13)</f>
        <v/>
      </c>
      <c r="BH14" s="14">
        <f>IF(COUNT(BH5:BH13)=0,"",SUM(BH5:BH13))</f>
        <v/>
      </c>
      <c r="BI14" s="14">
        <f>SUM(BI5:BI13)</f>
        <v/>
      </c>
      <c r="BJ14" s="14">
        <f>IF(COUNT(BJ5:BJ13)=0,"",SUM(BJ5:BJ13))</f>
        <v/>
      </c>
      <c r="BK14" s="14">
        <f>SUM(BK5:BK13)</f>
        <v/>
      </c>
      <c r="BL14" s="14">
        <f>IF(COUNT(BL5:BL13)=0,"",SUM(BL5:BL13))</f>
        <v/>
      </c>
      <c r="BM14" s="14">
        <f>SUM(BM5:BM13)</f>
        <v/>
      </c>
      <c r="BN14" s="14">
        <f>IF(COUNT(BN5:BN13)=0,"",SUM(BN5:BN13))</f>
        <v/>
      </c>
      <c r="BO14" s="14">
        <f>SUM(BO5:BO13)</f>
        <v/>
      </c>
    </row>
    <row r="15">
      <c r="A15" s="10" t="n">
        <v>10</v>
      </c>
      <c r="B15" s="27">
        <f>IF(Setup!Y$15="","",Setup!Y$15)</f>
        <v/>
      </c>
      <c r="C15" s="27">
        <f>IF(Setup!Z$15="","",Setup!Z$15)</f>
        <v/>
      </c>
      <c r="D15" s="11" t="n"/>
      <c r="E15" s="18">
        <f>IF(OR(N(D15)=0,$B15="",$C15=""),0,MAX(0,$B15+2-D15+IF($C15&lt;=D$3,1,0)+IF($C15+18&lt;=D$3,1,0)+IF($C15+36&lt;=D$3,1,0)))</f>
        <v/>
      </c>
      <c r="F15" s="11" t="n"/>
      <c r="G15" s="18">
        <f>IF(OR(N(F15)=0,$B15="",$C15=""),0,MAX(0,$B15+2-F15+IF($C15&lt;=F$3,1,0)+IF($C15+18&lt;=F$3,1,0)+IF($C15+36&lt;=F$3,1,0)))</f>
        <v/>
      </c>
      <c r="H15" s="11" t="n"/>
      <c r="I15" s="18">
        <f>IF(OR(N(H15)=0,$B15="",$C15=""),0,MAX(0,$B15+2-H15+IF($C15&lt;=H$3,1,0)+IF($C15+18&lt;=H$3,1,0)+IF($C15+36&lt;=H$3,1,0)))</f>
        <v/>
      </c>
      <c r="J15" s="11" t="n"/>
      <c r="K15" s="18">
        <f>IF(OR(N(J15)=0,$B15="",$C15=""),0,MAX(0,$B15+2-J15+IF($C15&lt;=J$3,1,0)+IF($C15+18&lt;=J$3,1,0)+IF($C15+36&lt;=J$3,1,0)))</f>
        <v/>
      </c>
      <c r="L15" s="11" t="n"/>
      <c r="M15" s="18">
        <f>IF(OR(N(L15)=0,$B15="",$C15=""),0,MAX(0,$B15+2-L15+IF($C15&lt;=L$3,1,0)+IF($C15+18&lt;=L$3,1,0)+IF($C15+36&lt;=L$3,1,0)))</f>
        <v/>
      </c>
      <c r="N15" s="11" t="n"/>
      <c r="O15" s="18">
        <f>IF(OR(N(N15)=0,$B15="",$C15=""),0,MAX(0,$B15+2-N15+IF($C15&lt;=N$3,1,0)+IF($C15+18&lt;=N$3,1,0)+IF($C15+36&lt;=N$3,1,0)))</f>
        <v/>
      </c>
      <c r="P15" s="11" t="n"/>
      <c r="Q15" s="18">
        <f>IF(OR(N(P15)=0,$B15="",$C15=""),0,MAX(0,$B15+2-P15+IF($C15&lt;=P$3,1,0)+IF($C15+18&lt;=P$3,1,0)+IF($C15+36&lt;=P$3,1,0)))</f>
        <v/>
      </c>
      <c r="R15" s="11" t="n"/>
      <c r="S15" s="18">
        <f>IF(OR(N(R15)=0,$B15="",$C15=""),0,MAX(0,$B15+2-R15+IF($C15&lt;=R$3,1,0)+IF($C15+18&lt;=R$3,1,0)+IF($C15+36&lt;=R$3,1,0)))</f>
        <v/>
      </c>
      <c r="T15" s="11" t="n"/>
      <c r="U15" s="18">
        <f>IF(OR(N(T15)=0,$B15="",$C15=""),0,MAX(0,$B15+2-T15+IF($C15&lt;=T$3,1,0)+IF($C15+18&lt;=T$3,1,0)+IF($C15+36&lt;=T$3,1,0)))</f>
        <v/>
      </c>
      <c r="V15" s="11" t="n"/>
      <c r="W15" s="18">
        <f>IF(OR(N(V15)=0,$B15="",$C15=""),0,MAX(0,$B15+2-V15+IF($C15&lt;=V$3,1,0)+IF($C15+18&lt;=V$3,1,0)+IF($C15+36&lt;=V$3,1,0)))</f>
        <v/>
      </c>
      <c r="X15" s="11" t="n"/>
      <c r="Y15" s="18">
        <f>IF(OR(N(X15)=0,$B15="",$C15=""),0,MAX(0,$B15+2-X15+IF($C15&lt;=X$3,1,0)+IF($C15+18&lt;=X$3,1,0)+IF($C15+36&lt;=X$3,1,0)))</f>
        <v/>
      </c>
      <c r="Z15" s="11" t="n"/>
      <c r="AA15" s="18">
        <f>IF(OR(N(Z15)=0,$B15="",$C15=""),0,MAX(0,$B15+2-Z15+IF($C15&lt;=Z$3,1,0)+IF($C15+18&lt;=Z$3,1,0)+IF($C15+36&lt;=Z$3,1,0)))</f>
        <v/>
      </c>
      <c r="AB15" s="11" t="n"/>
      <c r="AC15" s="18">
        <f>IF(OR(N(AB15)=0,$B15="",$C15=""),0,MAX(0,$B15+2-AB15+IF($C15&lt;=AB$3,1,0)+IF($C15+18&lt;=AB$3,1,0)+IF($C15+36&lt;=AB$3,1,0)))</f>
        <v/>
      </c>
      <c r="AD15" s="11" t="n"/>
      <c r="AE15" s="18">
        <f>IF(OR(N(AD15)=0,$B15="",$C15=""),0,MAX(0,$B15+2-AD15+IF($C15&lt;=AD$3,1,0)+IF($C15+18&lt;=AD$3,1,0)+IF($C15+36&lt;=AD$3,1,0)))</f>
        <v/>
      </c>
      <c r="AF15" s="11" t="n"/>
      <c r="AG15" s="18">
        <f>IF(OR(N(AF15)=0,$B15="",$C15=""),0,MAX(0,$B15+2-AF15+IF($C15&lt;=AF$3,1,0)+IF($C15+18&lt;=AF$3,1,0)+IF($C15+36&lt;=AF$3,1,0)))</f>
        <v/>
      </c>
      <c r="AH15" s="11" t="n"/>
      <c r="AI15" s="18">
        <f>IF(OR(N(AH15)=0,$B15="",$C15=""),0,MAX(0,$B15+2-AH15+IF($C15&lt;=AH$3,1,0)+IF($C15+18&lt;=AH$3,1,0)+IF($C15+36&lt;=AH$3,1,0)))</f>
        <v/>
      </c>
      <c r="AJ15" s="11" t="n"/>
      <c r="AK15" s="18">
        <f>IF(OR(N(AJ15)=0,$B15="",$C15=""),0,MAX(0,$B15+2-AJ15+IF($C15&lt;=AJ$3,1,0)+IF($C15+18&lt;=AJ$3,1,0)+IF($C15+36&lt;=AJ$3,1,0)))</f>
        <v/>
      </c>
      <c r="AL15" s="11" t="n"/>
      <c r="AM15" s="18">
        <f>IF(OR(N(AL15)=0,$B15="",$C15=""),0,MAX(0,$B15+2-AL15+IF($C15&lt;=AL$3,1,0)+IF($C15+18&lt;=AL$3,1,0)+IF($C15+36&lt;=AL$3,1,0)))</f>
        <v/>
      </c>
      <c r="AN15" s="11" t="n"/>
      <c r="AO15" s="18">
        <f>IF(OR(N(AN15)=0,$B15="",$C15=""),0,MAX(0,$B15+2-AN15+IF($C15&lt;=AN$3,1,0)+IF($C15+18&lt;=AN$3,1,0)+IF($C15+36&lt;=AN$3,1,0)))</f>
        <v/>
      </c>
      <c r="AP15" s="11" t="n"/>
      <c r="AQ15" s="18">
        <f>IF(OR(N(AP15)=0,$B15="",$C15=""),0,MAX(0,$B15+2-AP15+IF($C15&lt;=AP$3,1,0)+IF($C15+18&lt;=AP$3,1,0)+IF($C15+36&lt;=AP$3,1,0)))</f>
        <v/>
      </c>
      <c r="AR15" s="11" t="n"/>
      <c r="AS15" s="18">
        <f>IF(OR(N(AR15)=0,$B15="",$C15=""),0,MAX(0,$B15+2-AR15+IF($C15&lt;=AR$3,1,0)+IF($C15+18&lt;=AR$3,1,0)+IF($C15+36&lt;=AR$3,1,0)))</f>
        <v/>
      </c>
      <c r="AT15" s="11" t="n"/>
      <c r="AU15" s="18">
        <f>IF(OR(N(AT15)=0,$B15="",$C15=""),0,MAX(0,$B15+2-AT15+IF($C15&lt;=AT$3,1,0)+IF($C15+18&lt;=AT$3,1,0)+IF($C15+36&lt;=AT$3,1,0)))</f>
        <v/>
      </c>
      <c r="AV15" s="11" t="n"/>
      <c r="AW15" s="18">
        <f>IF(OR(N(AV15)=0,$B15="",$C15=""),0,MAX(0,$B15+2-AV15+IF($C15&lt;=AV$3,1,0)+IF($C15+18&lt;=AV$3,1,0)+IF($C15+36&lt;=AV$3,1,0)))</f>
        <v/>
      </c>
      <c r="AX15" s="11" t="n"/>
      <c r="AY15" s="18">
        <f>IF(OR(N(AX15)=0,$B15="",$C15=""),0,MAX(0,$B15+2-AX15+IF($C15&lt;=AX$3,1,0)+IF($C15+18&lt;=AX$3,1,0)+IF($C15+36&lt;=AX$3,1,0)))</f>
        <v/>
      </c>
      <c r="AZ15" s="11" t="n"/>
      <c r="BA15" s="18">
        <f>IF(OR(N(AZ15)=0,$B15="",$C15=""),0,MAX(0,$B15+2-AZ15+IF($C15&lt;=AZ$3,1,0)+IF($C15+18&lt;=AZ$3,1,0)+IF($C15+36&lt;=AZ$3,1,0)))</f>
        <v/>
      </c>
      <c r="BB15" s="11" t="n"/>
      <c r="BC15" s="18">
        <f>IF(OR(N(BB15)=0,$B15="",$C15=""),0,MAX(0,$B15+2-BB15+IF($C15&lt;=BB$3,1,0)+IF($C15+18&lt;=BB$3,1,0)+IF($C15+36&lt;=BB$3,1,0)))</f>
        <v/>
      </c>
      <c r="BD15" s="11" t="n"/>
      <c r="BE15" s="18">
        <f>IF(OR(N(BD15)=0,$B15="",$C15=""),0,MAX(0,$B15+2-BD15+IF($C15&lt;=BD$3,1,0)+IF($C15+18&lt;=BD$3,1,0)+IF($C15+36&lt;=BD$3,1,0)))</f>
        <v/>
      </c>
      <c r="BF15" s="11" t="n"/>
      <c r="BG15" s="18">
        <f>IF(OR(N(BF15)=0,$B15="",$C15=""),0,MAX(0,$B15+2-BF15+IF($C15&lt;=BF$3,1,0)+IF($C15+18&lt;=BF$3,1,0)+IF($C15+36&lt;=BF$3,1,0)))</f>
        <v/>
      </c>
      <c r="BH15" s="11" t="n"/>
      <c r="BI15" s="18">
        <f>IF(OR(N(BH15)=0,$B15="",$C15=""),0,MAX(0,$B15+2-BH15+IF($C15&lt;=BH$3,1,0)+IF($C15+18&lt;=BH$3,1,0)+IF($C15+36&lt;=BH$3,1,0)))</f>
        <v/>
      </c>
      <c r="BJ15" s="11" t="n"/>
      <c r="BK15" s="18">
        <f>IF(OR(N(BJ15)=0,$B15="",$C15=""),0,MAX(0,$B15+2-BJ15+IF($C15&lt;=BJ$3,1,0)+IF($C15+18&lt;=BJ$3,1,0)+IF($C15+36&lt;=BJ$3,1,0)))</f>
        <v/>
      </c>
      <c r="BL15" s="11" t="n"/>
      <c r="BM15" s="18">
        <f>IF(OR(N(BL15)=0,$B15="",$C15=""),0,MAX(0,$B15+2-BL15+IF($C15&lt;=BL$3,1,0)+IF($C15+18&lt;=BL$3,1,0)+IF($C15+36&lt;=BL$3,1,0)))</f>
        <v/>
      </c>
      <c r="BN15" s="11" t="n"/>
      <c r="BO15" s="18">
        <f>IF(OR(N(BN15)=0,$B15="",$C15=""),0,MAX(0,$B15+2-BN15+IF($C15&lt;=BN$3,1,0)+IF($C15+18&lt;=BN$3,1,0)+IF($C15+36&lt;=BN$3,1,0)))</f>
        <v/>
      </c>
    </row>
    <row r="16">
      <c r="A16" s="10" t="n">
        <v>11</v>
      </c>
      <c r="B16" s="27">
        <f>IF(Setup!Y$16="","",Setup!Y$16)</f>
        <v/>
      </c>
      <c r="C16" s="27">
        <f>IF(Setup!Z$16="","",Setup!Z$16)</f>
        <v/>
      </c>
      <c r="D16" s="11" t="n"/>
      <c r="E16" s="18">
        <f>IF(OR(N(D16)=0,$B16="",$C16=""),0,MAX(0,$B16+2-D16+IF($C16&lt;=D$3,1,0)+IF($C16+18&lt;=D$3,1,0)+IF($C16+36&lt;=D$3,1,0)))</f>
        <v/>
      </c>
      <c r="F16" s="11" t="n"/>
      <c r="G16" s="18">
        <f>IF(OR(N(F16)=0,$B16="",$C16=""),0,MAX(0,$B16+2-F16+IF($C16&lt;=F$3,1,0)+IF($C16+18&lt;=F$3,1,0)+IF($C16+36&lt;=F$3,1,0)))</f>
        <v/>
      </c>
      <c r="H16" s="11" t="n"/>
      <c r="I16" s="18">
        <f>IF(OR(N(H16)=0,$B16="",$C16=""),0,MAX(0,$B16+2-H16+IF($C16&lt;=H$3,1,0)+IF($C16+18&lt;=H$3,1,0)+IF($C16+36&lt;=H$3,1,0)))</f>
        <v/>
      </c>
      <c r="J16" s="11" t="n"/>
      <c r="K16" s="18">
        <f>IF(OR(N(J16)=0,$B16="",$C16=""),0,MAX(0,$B16+2-J16+IF($C16&lt;=J$3,1,0)+IF($C16+18&lt;=J$3,1,0)+IF($C16+36&lt;=J$3,1,0)))</f>
        <v/>
      </c>
      <c r="L16" s="11" t="n"/>
      <c r="M16" s="18">
        <f>IF(OR(N(L16)=0,$B16="",$C16=""),0,MAX(0,$B16+2-L16+IF($C16&lt;=L$3,1,0)+IF($C16+18&lt;=L$3,1,0)+IF($C16+36&lt;=L$3,1,0)))</f>
        <v/>
      </c>
      <c r="N16" s="11" t="n"/>
      <c r="O16" s="18">
        <f>IF(OR(N(N16)=0,$B16="",$C16=""),0,MAX(0,$B16+2-N16+IF($C16&lt;=N$3,1,0)+IF($C16+18&lt;=N$3,1,0)+IF($C16+36&lt;=N$3,1,0)))</f>
        <v/>
      </c>
      <c r="P16" s="11" t="n"/>
      <c r="Q16" s="18">
        <f>IF(OR(N(P16)=0,$B16="",$C16=""),0,MAX(0,$B16+2-P16+IF($C16&lt;=P$3,1,0)+IF($C16+18&lt;=P$3,1,0)+IF($C16+36&lt;=P$3,1,0)))</f>
        <v/>
      </c>
      <c r="R16" s="11" t="n"/>
      <c r="S16" s="18">
        <f>IF(OR(N(R16)=0,$B16="",$C16=""),0,MAX(0,$B16+2-R16+IF($C16&lt;=R$3,1,0)+IF($C16+18&lt;=R$3,1,0)+IF($C16+36&lt;=R$3,1,0)))</f>
        <v/>
      </c>
      <c r="T16" s="11" t="n"/>
      <c r="U16" s="18">
        <f>IF(OR(N(T16)=0,$B16="",$C16=""),0,MAX(0,$B16+2-T16+IF($C16&lt;=T$3,1,0)+IF($C16+18&lt;=T$3,1,0)+IF($C16+36&lt;=T$3,1,0)))</f>
        <v/>
      </c>
      <c r="V16" s="11" t="n"/>
      <c r="W16" s="18">
        <f>IF(OR(N(V16)=0,$B16="",$C16=""),0,MAX(0,$B16+2-V16+IF($C16&lt;=V$3,1,0)+IF($C16+18&lt;=V$3,1,0)+IF($C16+36&lt;=V$3,1,0)))</f>
        <v/>
      </c>
      <c r="X16" s="11" t="n"/>
      <c r="Y16" s="18">
        <f>IF(OR(N(X16)=0,$B16="",$C16=""),0,MAX(0,$B16+2-X16+IF($C16&lt;=X$3,1,0)+IF($C16+18&lt;=X$3,1,0)+IF($C16+36&lt;=X$3,1,0)))</f>
        <v/>
      </c>
      <c r="Z16" s="11" t="n"/>
      <c r="AA16" s="18">
        <f>IF(OR(N(Z16)=0,$B16="",$C16=""),0,MAX(0,$B16+2-Z16+IF($C16&lt;=Z$3,1,0)+IF($C16+18&lt;=Z$3,1,0)+IF($C16+36&lt;=Z$3,1,0)))</f>
        <v/>
      </c>
      <c r="AB16" s="11" t="n"/>
      <c r="AC16" s="18">
        <f>IF(OR(N(AB16)=0,$B16="",$C16=""),0,MAX(0,$B16+2-AB16+IF($C16&lt;=AB$3,1,0)+IF($C16+18&lt;=AB$3,1,0)+IF($C16+36&lt;=AB$3,1,0)))</f>
        <v/>
      </c>
      <c r="AD16" s="11" t="n"/>
      <c r="AE16" s="18">
        <f>IF(OR(N(AD16)=0,$B16="",$C16=""),0,MAX(0,$B16+2-AD16+IF($C16&lt;=AD$3,1,0)+IF($C16+18&lt;=AD$3,1,0)+IF($C16+36&lt;=AD$3,1,0)))</f>
        <v/>
      </c>
      <c r="AF16" s="11" t="n"/>
      <c r="AG16" s="18">
        <f>IF(OR(N(AF16)=0,$B16="",$C16=""),0,MAX(0,$B16+2-AF16+IF($C16&lt;=AF$3,1,0)+IF($C16+18&lt;=AF$3,1,0)+IF($C16+36&lt;=AF$3,1,0)))</f>
        <v/>
      </c>
      <c r="AH16" s="11" t="n"/>
      <c r="AI16" s="18">
        <f>IF(OR(N(AH16)=0,$B16="",$C16=""),0,MAX(0,$B16+2-AH16+IF($C16&lt;=AH$3,1,0)+IF($C16+18&lt;=AH$3,1,0)+IF($C16+36&lt;=AH$3,1,0)))</f>
        <v/>
      </c>
      <c r="AJ16" s="11" t="n"/>
      <c r="AK16" s="18">
        <f>IF(OR(N(AJ16)=0,$B16="",$C16=""),0,MAX(0,$B16+2-AJ16+IF($C16&lt;=AJ$3,1,0)+IF($C16+18&lt;=AJ$3,1,0)+IF($C16+36&lt;=AJ$3,1,0)))</f>
        <v/>
      </c>
      <c r="AL16" s="11" t="n"/>
      <c r="AM16" s="18">
        <f>IF(OR(N(AL16)=0,$B16="",$C16=""),0,MAX(0,$B16+2-AL16+IF($C16&lt;=AL$3,1,0)+IF($C16+18&lt;=AL$3,1,0)+IF($C16+36&lt;=AL$3,1,0)))</f>
        <v/>
      </c>
      <c r="AN16" s="11" t="n"/>
      <c r="AO16" s="18">
        <f>IF(OR(N(AN16)=0,$B16="",$C16=""),0,MAX(0,$B16+2-AN16+IF($C16&lt;=AN$3,1,0)+IF($C16+18&lt;=AN$3,1,0)+IF($C16+36&lt;=AN$3,1,0)))</f>
        <v/>
      </c>
      <c r="AP16" s="11" t="n"/>
      <c r="AQ16" s="18">
        <f>IF(OR(N(AP16)=0,$B16="",$C16=""),0,MAX(0,$B16+2-AP16+IF($C16&lt;=AP$3,1,0)+IF($C16+18&lt;=AP$3,1,0)+IF($C16+36&lt;=AP$3,1,0)))</f>
        <v/>
      </c>
      <c r="AR16" s="11" t="n"/>
      <c r="AS16" s="18">
        <f>IF(OR(N(AR16)=0,$B16="",$C16=""),0,MAX(0,$B16+2-AR16+IF($C16&lt;=AR$3,1,0)+IF($C16+18&lt;=AR$3,1,0)+IF($C16+36&lt;=AR$3,1,0)))</f>
        <v/>
      </c>
      <c r="AT16" s="11" t="n"/>
      <c r="AU16" s="18">
        <f>IF(OR(N(AT16)=0,$B16="",$C16=""),0,MAX(0,$B16+2-AT16+IF($C16&lt;=AT$3,1,0)+IF($C16+18&lt;=AT$3,1,0)+IF($C16+36&lt;=AT$3,1,0)))</f>
        <v/>
      </c>
      <c r="AV16" s="11" t="n"/>
      <c r="AW16" s="18">
        <f>IF(OR(N(AV16)=0,$B16="",$C16=""),0,MAX(0,$B16+2-AV16+IF($C16&lt;=AV$3,1,0)+IF($C16+18&lt;=AV$3,1,0)+IF($C16+36&lt;=AV$3,1,0)))</f>
        <v/>
      </c>
      <c r="AX16" s="11" t="n"/>
      <c r="AY16" s="18">
        <f>IF(OR(N(AX16)=0,$B16="",$C16=""),0,MAX(0,$B16+2-AX16+IF($C16&lt;=AX$3,1,0)+IF($C16+18&lt;=AX$3,1,0)+IF($C16+36&lt;=AX$3,1,0)))</f>
        <v/>
      </c>
      <c r="AZ16" s="11" t="n"/>
      <c r="BA16" s="18">
        <f>IF(OR(N(AZ16)=0,$B16="",$C16=""),0,MAX(0,$B16+2-AZ16+IF($C16&lt;=AZ$3,1,0)+IF($C16+18&lt;=AZ$3,1,0)+IF($C16+36&lt;=AZ$3,1,0)))</f>
        <v/>
      </c>
      <c r="BB16" s="11" t="n"/>
      <c r="BC16" s="18">
        <f>IF(OR(N(BB16)=0,$B16="",$C16=""),0,MAX(0,$B16+2-BB16+IF($C16&lt;=BB$3,1,0)+IF($C16+18&lt;=BB$3,1,0)+IF($C16+36&lt;=BB$3,1,0)))</f>
        <v/>
      </c>
      <c r="BD16" s="11" t="n"/>
      <c r="BE16" s="18">
        <f>IF(OR(N(BD16)=0,$B16="",$C16=""),0,MAX(0,$B16+2-BD16+IF($C16&lt;=BD$3,1,0)+IF($C16+18&lt;=BD$3,1,0)+IF($C16+36&lt;=BD$3,1,0)))</f>
        <v/>
      </c>
      <c r="BF16" s="11" t="n"/>
      <c r="BG16" s="18">
        <f>IF(OR(N(BF16)=0,$B16="",$C16=""),0,MAX(0,$B16+2-BF16+IF($C16&lt;=BF$3,1,0)+IF($C16+18&lt;=BF$3,1,0)+IF($C16+36&lt;=BF$3,1,0)))</f>
        <v/>
      </c>
      <c r="BH16" s="11" t="n"/>
      <c r="BI16" s="18">
        <f>IF(OR(N(BH16)=0,$B16="",$C16=""),0,MAX(0,$B16+2-BH16+IF($C16&lt;=BH$3,1,0)+IF($C16+18&lt;=BH$3,1,0)+IF($C16+36&lt;=BH$3,1,0)))</f>
        <v/>
      </c>
      <c r="BJ16" s="11" t="n"/>
      <c r="BK16" s="18">
        <f>IF(OR(N(BJ16)=0,$B16="",$C16=""),0,MAX(0,$B16+2-BJ16+IF($C16&lt;=BJ$3,1,0)+IF($C16+18&lt;=BJ$3,1,0)+IF($C16+36&lt;=BJ$3,1,0)))</f>
        <v/>
      </c>
      <c r="BL16" s="11" t="n"/>
      <c r="BM16" s="18">
        <f>IF(OR(N(BL16)=0,$B16="",$C16=""),0,MAX(0,$B16+2-BL16+IF($C16&lt;=BL$3,1,0)+IF($C16+18&lt;=BL$3,1,0)+IF($C16+36&lt;=BL$3,1,0)))</f>
        <v/>
      </c>
      <c r="BN16" s="11" t="n"/>
      <c r="BO16" s="18">
        <f>IF(OR(N(BN16)=0,$B16="",$C16=""),0,MAX(0,$B16+2-BN16+IF($C16&lt;=BN$3,1,0)+IF($C16+18&lt;=BN$3,1,0)+IF($C16+36&lt;=BN$3,1,0)))</f>
        <v/>
      </c>
    </row>
    <row r="17">
      <c r="A17" s="10" t="n">
        <v>12</v>
      </c>
      <c r="B17" s="27">
        <f>IF(Setup!Y$17="","",Setup!Y$17)</f>
        <v/>
      </c>
      <c r="C17" s="27">
        <f>IF(Setup!Z$17="","",Setup!Z$17)</f>
        <v/>
      </c>
      <c r="D17" s="11" t="n"/>
      <c r="E17" s="18">
        <f>IF(OR(N(D17)=0,$B17="",$C17=""),0,MAX(0,$B17+2-D17+IF($C17&lt;=D$3,1,0)+IF($C17+18&lt;=D$3,1,0)+IF($C17+36&lt;=D$3,1,0)))</f>
        <v/>
      </c>
      <c r="F17" s="11" t="n"/>
      <c r="G17" s="18">
        <f>IF(OR(N(F17)=0,$B17="",$C17=""),0,MAX(0,$B17+2-F17+IF($C17&lt;=F$3,1,0)+IF($C17+18&lt;=F$3,1,0)+IF($C17+36&lt;=F$3,1,0)))</f>
        <v/>
      </c>
      <c r="H17" s="11" t="n"/>
      <c r="I17" s="18">
        <f>IF(OR(N(H17)=0,$B17="",$C17=""),0,MAX(0,$B17+2-H17+IF($C17&lt;=H$3,1,0)+IF($C17+18&lt;=H$3,1,0)+IF($C17+36&lt;=H$3,1,0)))</f>
        <v/>
      </c>
      <c r="J17" s="11" t="n"/>
      <c r="K17" s="18">
        <f>IF(OR(N(J17)=0,$B17="",$C17=""),0,MAX(0,$B17+2-J17+IF($C17&lt;=J$3,1,0)+IF($C17+18&lt;=J$3,1,0)+IF($C17+36&lt;=J$3,1,0)))</f>
        <v/>
      </c>
      <c r="L17" s="11" t="n"/>
      <c r="M17" s="18">
        <f>IF(OR(N(L17)=0,$B17="",$C17=""),0,MAX(0,$B17+2-L17+IF($C17&lt;=L$3,1,0)+IF($C17+18&lt;=L$3,1,0)+IF($C17+36&lt;=L$3,1,0)))</f>
        <v/>
      </c>
      <c r="N17" s="11" t="n"/>
      <c r="O17" s="18">
        <f>IF(OR(N(N17)=0,$B17="",$C17=""),0,MAX(0,$B17+2-N17+IF($C17&lt;=N$3,1,0)+IF($C17+18&lt;=N$3,1,0)+IF($C17+36&lt;=N$3,1,0)))</f>
        <v/>
      </c>
      <c r="P17" s="11" t="n"/>
      <c r="Q17" s="18">
        <f>IF(OR(N(P17)=0,$B17="",$C17=""),0,MAX(0,$B17+2-P17+IF($C17&lt;=P$3,1,0)+IF($C17+18&lt;=P$3,1,0)+IF($C17+36&lt;=P$3,1,0)))</f>
        <v/>
      </c>
      <c r="R17" s="11" t="n"/>
      <c r="S17" s="18">
        <f>IF(OR(N(R17)=0,$B17="",$C17=""),0,MAX(0,$B17+2-R17+IF($C17&lt;=R$3,1,0)+IF($C17+18&lt;=R$3,1,0)+IF($C17+36&lt;=R$3,1,0)))</f>
        <v/>
      </c>
      <c r="T17" s="11" t="n"/>
      <c r="U17" s="18">
        <f>IF(OR(N(T17)=0,$B17="",$C17=""),0,MAX(0,$B17+2-T17+IF($C17&lt;=T$3,1,0)+IF($C17+18&lt;=T$3,1,0)+IF($C17+36&lt;=T$3,1,0)))</f>
        <v/>
      </c>
      <c r="V17" s="11" t="n"/>
      <c r="W17" s="18">
        <f>IF(OR(N(V17)=0,$B17="",$C17=""),0,MAX(0,$B17+2-V17+IF($C17&lt;=V$3,1,0)+IF($C17+18&lt;=V$3,1,0)+IF($C17+36&lt;=V$3,1,0)))</f>
        <v/>
      </c>
      <c r="X17" s="11" t="n"/>
      <c r="Y17" s="18">
        <f>IF(OR(N(X17)=0,$B17="",$C17=""),0,MAX(0,$B17+2-X17+IF($C17&lt;=X$3,1,0)+IF($C17+18&lt;=X$3,1,0)+IF($C17+36&lt;=X$3,1,0)))</f>
        <v/>
      </c>
      <c r="Z17" s="11" t="n"/>
      <c r="AA17" s="18">
        <f>IF(OR(N(Z17)=0,$B17="",$C17=""),0,MAX(0,$B17+2-Z17+IF($C17&lt;=Z$3,1,0)+IF($C17+18&lt;=Z$3,1,0)+IF($C17+36&lt;=Z$3,1,0)))</f>
        <v/>
      </c>
      <c r="AB17" s="11" t="n"/>
      <c r="AC17" s="18">
        <f>IF(OR(N(AB17)=0,$B17="",$C17=""),0,MAX(0,$B17+2-AB17+IF($C17&lt;=AB$3,1,0)+IF($C17+18&lt;=AB$3,1,0)+IF($C17+36&lt;=AB$3,1,0)))</f>
        <v/>
      </c>
      <c r="AD17" s="11" t="n"/>
      <c r="AE17" s="18">
        <f>IF(OR(N(AD17)=0,$B17="",$C17=""),0,MAX(0,$B17+2-AD17+IF($C17&lt;=AD$3,1,0)+IF($C17+18&lt;=AD$3,1,0)+IF($C17+36&lt;=AD$3,1,0)))</f>
        <v/>
      </c>
      <c r="AF17" s="11" t="n"/>
      <c r="AG17" s="18">
        <f>IF(OR(N(AF17)=0,$B17="",$C17=""),0,MAX(0,$B17+2-AF17+IF($C17&lt;=AF$3,1,0)+IF($C17+18&lt;=AF$3,1,0)+IF($C17+36&lt;=AF$3,1,0)))</f>
        <v/>
      </c>
      <c r="AH17" s="11" t="n"/>
      <c r="AI17" s="18">
        <f>IF(OR(N(AH17)=0,$B17="",$C17=""),0,MAX(0,$B17+2-AH17+IF($C17&lt;=AH$3,1,0)+IF($C17+18&lt;=AH$3,1,0)+IF($C17+36&lt;=AH$3,1,0)))</f>
        <v/>
      </c>
      <c r="AJ17" s="11" t="n"/>
      <c r="AK17" s="18">
        <f>IF(OR(N(AJ17)=0,$B17="",$C17=""),0,MAX(0,$B17+2-AJ17+IF($C17&lt;=AJ$3,1,0)+IF($C17+18&lt;=AJ$3,1,0)+IF($C17+36&lt;=AJ$3,1,0)))</f>
        <v/>
      </c>
      <c r="AL17" s="11" t="n"/>
      <c r="AM17" s="18">
        <f>IF(OR(N(AL17)=0,$B17="",$C17=""),0,MAX(0,$B17+2-AL17+IF($C17&lt;=AL$3,1,0)+IF($C17+18&lt;=AL$3,1,0)+IF($C17+36&lt;=AL$3,1,0)))</f>
        <v/>
      </c>
      <c r="AN17" s="11" t="n"/>
      <c r="AO17" s="18">
        <f>IF(OR(N(AN17)=0,$B17="",$C17=""),0,MAX(0,$B17+2-AN17+IF($C17&lt;=AN$3,1,0)+IF($C17+18&lt;=AN$3,1,0)+IF($C17+36&lt;=AN$3,1,0)))</f>
        <v/>
      </c>
      <c r="AP17" s="11" t="n"/>
      <c r="AQ17" s="18">
        <f>IF(OR(N(AP17)=0,$B17="",$C17=""),0,MAX(0,$B17+2-AP17+IF($C17&lt;=AP$3,1,0)+IF($C17+18&lt;=AP$3,1,0)+IF($C17+36&lt;=AP$3,1,0)))</f>
        <v/>
      </c>
      <c r="AR17" s="11" t="n"/>
      <c r="AS17" s="18">
        <f>IF(OR(N(AR17)=0,$B17="",$C17=""),0,MAX(0,$B17+2-AR17+IF($C17&lt;=AR$3,1,0)+IF($C17+18&lt;=AR$3,1,0)+IF($C17+36&lt;=AR$3,1,0)))</f>
        <v/>
      </c>
      <c r="AT17" s="11" t="n"/>
      <c r="AU17" s="18">
        <f>IF(OR(N(AT17)=0,$B17="",$C17=""),0,MAX(0,$B17+2-AT17+IF($C17&lt;=AT$3,1,0)+IF($C17+18&lt;=AT$3,1,0)+IF($C17+36&lt;=AT$3,1,0)))</f>
        <v/>
      </c>
      <c r="AV17" s="11" t="n"/>
      <c r="AW17" s="18">
        <f>IF(OR(N(AV17)=0,$B17="",$C17=""),0,MAX(0,$B17+2-AV17+IF($C17&lt;=AV$3,1,0)+IF($C17+18&lt;=AV$3,1,0)+IF($C17+36&lt;=AV$3,1,0)))</f>
        <v/>
      </c>
      <c r="AX17" s="11" t="n"/>
      <c r="AY17" s="18">
        <f>IF(OR(N(AX17)=0,$B17="",$C17=""),0,MAX(0,$B17+2-AX17+IF($C17&lt;=AX$3,1,0)+IF($C17+18&lt;=AX$3,1,0)+IF($C17+36&lt;=AX$3,1,0)))</f>
        <v/>
      </c>
      <c r="AZ17" s="11" t="n"/>
      <c r="BA17" s="18">
        <f>IF(OR(N(AZ17)=0,$B17="",$C17=""),0,MAX(0,$B17+2-AZ17+IF($C17&lt;=AZ$3,1,0)+IF($C17+18&lt;=AZ$3,1,0)+IF($C17+36&lt;=AZ$3,1,0)))</f>
        <v/>
      </c>
      <c r="BB17" s="11" t="n"/>
      <c r="BC17" s="18">
        <f>IF(OR(N(BB17)=0,$B17="",$C17=""),0,MAX(0,$B17+2-BB17+IF($C17&lt;=BB$3,1,0)+IF($C17+18&lt;=BB$3,1,0)+IF($C17+36&lt;=BB$3,1,0)))</f>
        <v/>
      </c>
      <c r="BD17" s="11" t="n"/>
      <c r="BE17" s="18">
        <f>IF(OR(N(BD17)=0,$B17="",$C17=""),0,MAX(0,$B17+2-BD17+IF($C17&lt;=BD$3,1,0)+IF($C17+18&lt;=BD$3,1,0)+IF($C17+36&lt;=BD$3,1,0)))</f>
        <v/>
      </c>
      <c r="BF17" s="11" t="n"/>
      <c r="BG17" s="18">
        <f>IF(OR(N(BF17)=0,$B17="",$C17=""),0,MAX(0,$B17+2-BF17+IF($C17&lt;=BF$3,1,0)+IF($C17+18&lt;=BF$3,1,0)+IF($C17+36&lt;=BF$3,1,0)))</f>
        <v/>
      </c>
      <c r="BH17" s="11" t="n"/>
      <c r="BI17" s="18">
        <f>IF(OR(N(BH17)=0,$B17="",$C17=""),0,MAX(0,$B17+2-BH17+IF($C17&lt;=BH$3,1,0)+IF($C17+18&lt;=BH$3,1,0)+IF($C17+36&lt;=BH$3,1,0)))</f>
        <v/>
      </c>
      <c r="BJ17" s="11" t="n"/>
      <c r="BK17" s="18">
        <f>IF(OR(N(BJ17)=0,$B17="",$C17=""),0,MAX(0,$B17+2-BJ17+IF($C17&lt;=BJ$3,1,0)+IF($C17+18&lt;=BJ$3,1,0)+IF($C17+36&lt;=BJ$3,1,0)))</f>
        <v/>
      </c>
      <c r="BL17" s="11" t="n"/>
      <c r="BM17" s="18">
        <f>IF(OR(N(BL17)=0,$B17="",$C17=""),0,MAX(0,$B17+2-BL17+IF($C17&lt;=BL$3,1,0)+IF($C17+18&lt;=BL$3,1,0)+IF($C17+36&lt;=BL$3,1,0)))</f>
        <v/>
      </c>
      <c r="BN17" s="11" t="n"/>
      <c r="BO17" s="18">
        <f>IF(OR(N(BN17)=0,$B17="",$C17=""),0,MAX(0,$B17+2-BN17+IF($C17&lt;=BN$3,1,0)+IF($C17+18&lt;=BN$3,1,0)+IF($C17+36&lt;=BN$3,1,0)))</f>
        <v/>
      </c>
    </row>
    <row r="18">
      <c r="A18" s="10" t="n">
        <v>13</v>
      </c>
      <c r="B18" s="27">
        <f>IF(Setup!Y$18="","",Setup!Y$18)</f>
        <v/>
      </c>
      <c r="C18" s="27">
        <f>IF(Setup!Z$18="","",Setup!Z$18)</f>
        <v/>
      </c>
      <c r="D18" s="11" t="n"/>
      <c r="E18" s="18">
        <f>IF(OR(N(D18)=0,$B18="",$C18=""),0,MAX(0,$B18+2-D18+IF($C18&lt;=D$3,1,0)+IF($C18+18&lt;=D$3,1,0)+IF($C18+36&lt;=D$3,1,0)))</f>
        <v/>
      </c>
      <c r="F18" s="11" t="n"/>
      <c r="G18" s="18">
        <f>IF(OR(N(F18)=0,$B18="",$C18=""),0,MAX(0,$B18+2-F18+IF($C18&lt;=F$3,1,0)+IF($C18+18&lt;=F$3,1,0)+IF($C18+36&lt;=F$3,1,0)))</f>
        <v/>
      </c>
      <c r="H18" s="11" t="n"/>
      <c r="I18" s="18">
        <f>IF(OR(N(H18)=0,$B18="",$C18=""),0,MAX(0,$B18+2-H18+IF($C18&lt;=H$3,1,0)+IF($C18+18&lt;=H$3,1,0)+IF($C18+36&lt;=H$3,1,0)))</f>
        <v/>
      </c>
      <c r="J18" s="11" t="n"/>
      <c r="K18" s="18">
        <f>IF(OR(N(J18)=0,$B18="",$C18=""),0,MAX(0,$B18+2-J18+IF($C18&lt;=J$3,1,0)+IF($C18+18&lt;=J$3,1,0)+IF($C18+36&lt;=J$3,1,0)))</f>
        <v/>
      </c>
      <c r="L18" s="11" t="n"/>
      <c r="M18" s="18">
        <f>IF(OR(N(L18)=0,$B18="",$C18=""),0,MAX(0,$B18+2-L18+IF($C18&lt;=L$3,1,0)+IF($C18+18&lt;=L$3,1,0)+IF($C18+36&lt;=L$3,1,0)))</f>
        <v/>
      </c>
      <c r="N18" s="11" t="n"/>
      <c r="O18" s="18">
        <f>IF(OR(N(N18)=0,$B18="",$C18=""),0,MAX(0,$B18+2-N18+IF($C18&lt;=N$3,1,0)+IF($C18+18&lt;=N$3,1,0)+IF($C18+36&lt;=N$3,1,0)))</f>
        <v/>
      </c>
      <c r="P18" s="11" t="n"/>
      <c r="Q18" s="18">
        <f>IF(OR(N(P18)=0,$B18="",$C18=""),0,MAX(0,$B18+2-P18+IF($C18&lt;=P$3,1,0)+IF($C18+18&lt;=P$3,1,0)+IF($C18+36&lt;=P$3,1,0)))</f>
        <v/>
      </c>
      <c r="R18" s="11" t="n"/>
      <c r="S18" s="18">
        <f>IF(OR(N(R18)=0,$B18="",$C18=""),0,MAX(0,$B18+2-R18+IF($C18&lt;=R$3,1,0)+IF($C18+18&lt;=R$3,1,0)+IF($C18+36&lt;=R$3,1,0)))</f>
        <v/>
      </c>
      <c r="T18" s="11" t="n"/>
      <c r="U18" s="18">
        <f>IF(OR(N(T18)=0,$B18="",$C18=""),0,MAX(0,$B18+2-T18+IF($C18&lt;=T$3,1,0)+IF($C18+18&lt;=T$3,1,0)+IF($C18+36&lt;=T$3,1,0)))</f>
        <v/>
      </c>
      <c r="V18" s="11" t="n"/>
      <c r="W18" s="18">
        <f>IF(OR(N(V18)=0,$B18="",$C18=""),0,MAX(0,$B18+2-V18+IF($C18&lt;=V$3,1,0)+IF($C18+18&lt;=V$3,1,0)+IF($C18+36&lt;=V$3,1,0)))</f>
        <v/>
      </c>
      <c r="X18" s="11" t="n"/>
      <c r="Y18" s="18">
        <f>IF(OR(N(X18)=0,$B18="",$C18=""),0,MAX(0,$B18+2-X18+IF($C18&lt;=X$3,1,0)+IF($C18+18&lt;=X$3,1,0)+IF($C18+36&lt;=X$3,1,0)))</f>
        <v/>
      </c>
      <c r="Z18" s="11" t="n"/>
      <c r="AA18" s="18">
        <f>IF(OR(N(Z18)=0,$B18="",$C18=""),0,MAX(0,$B18+2-Z18+IF($C18&lt;=Z$3,1,0)+IF($C18+18&lt;=Z$3,1,0)+IF($C18+36&lt;=Z$3,1,0)))</f>
        <v/>
      </c>
      <c r="AB18" s="11" t="n"/>
      <c r="AC18" s="18">
        <f>IF(OR(N(AB18)=0,$B18="",$C18=""),0,MAX(0,$B18+2-AB18+IF($C18&lt;=AB$3,1,0)+IF($C18+18&lt;=AB$3,1,0)+IF($C18+36&lt;=AB$3,1,0)))</f>
        <v/>
      </c>
      <c r="AD18" s="11" t="n"/>
      <c r="AE18" s="18">
        <f>IF(OR(N(AD18)=0,$B18="",$C18=""),0,MAX(0,$B18+2-AD18+IF($C18&lt;=AD$3,1,0)+IF($C18+18&lt;=AD$3,1,0)+IF($C18+36&lt;=AD$3,1,0)))</f>
        <v/>
      </c>
      <c r="AF18" s="11" t="n"/>
      <c r="AG18" s="18">
        <f>IF(OR(N(AF18)=0,$B18="",$C18=""),0,MAX(0,$B18+2-AF18+IF($C18&lt;=AF$3,1,0)+IF($C18+18&lt;=AF$3,1,0)+IF($C18+36&lt;=AF$3,1,0)))</f>
        <v/>
      </c>
      <c r="AH18" s="11" t="n"/>
      <c r="AI18" s="18">
        <f>IF(OR(N(AH18)=0,$B18="",$C18=""),0,MAX(0,$B18+2-AH18+IF($C18&lt;=AH$3,1,0)+IF($C18+18&lt;=AH$3,1,0)+IF($C18+36&lt;=AH$3,1,0)))</f>
        <v/>
      </c>
      <c r="AJ18" s="11" t="n"/>
      <c r="AK18" s="18">
        <f>IF(OR(N(AJ18)=0,$B18="",$C18=""),0,MAX(0,$B18+2-AJ18+IF($C18&lt;=AJ$3,1,0)+IF($C18+18&lt;=AJ$3,1,0)+IF($C18+36&lt;=AJ$3,1,0)))</f>
        <v/>
      </c>
      <c r="AL18" s="11" t="n"/>
      <c r="AM18" s="18">
        <f>IF(OR(N(AL18)=0,$B18="",$C18=""),0,MAX(0,$B18+2-AL18+IF($C18&lt;=AL$3,1,0)+IF($C18+18&lt;=AL$3,1,0)+IF($C18+36&lt;=AL$3,1,0)))</f>
        <v/>
      </c>
      <c r="AN18" s="11" t="n"/>
      <c r="AO18" s="18">
        <f>IF(OR(N(AN18)=0,$B18="",$C18=""),0,MAX(0,$B18+2-AN18+IF($C18&lt;=AN$3,1,0)+IF($C18+18&lt;=AN$3,1,0)+IF($C18+36&lt;=AN$3,1,0)))</f>
        <v/>
      </c>
      <c r="AP18" s="11" t="n"/>
      <c r="AQ18" s="18">
        <f>IF(OR(N(AP18)=0,$B18="",$C18=""),0,MAX(0,$B18+2-AP18+IF($C18&lt;=AP$3,1,0)+IF($C18+18&lt;=AP$3,1,0)+IF($C18+36&lt;=AP$3,1,0)))</f>
        <v/>
      </c>
      <c r="AR18" s="11" t="n"/>
      <c r="AS18" s="18">
        <f>IF(OR(N(AR18)=0,$B18="",$C18=""),0,MAX(0,$B18+2-AR18+IF($C18&lt;=AR$3,1,0)+IF($C18+18&lt;=AR$3,1,0)+IF($C18+36&lt;=AR$3,1,0)))</f>
        <v/>
      </c>
      <c r="AT18" s="11" t="n"/>
      <c r="AU18" s="18">
        <f>IF(OR(N(AT18)=0,$B18="",$C18=""),0,MAX(0,$B18+2-AT18+IF($C18&lt;=AT$3,1,0)+IF($C18+18&lt;=AT$3,1,0)+IF($C18+36&lt;=AT$3,1,0)))</f>
        <v/>
      </c>
      <c r="AV18" s="11" t="n"/>
      <c r="AW18" s="18">
        <f>IF(OR(N(AV18)=0,$B18="",$C18=""),0,MAX(0,$B18+2-AV18+IF($C18&lt;=AV$3,1,0)+IF($C18+18&lt;=AV$3,1,0)+IF($C18+36&lt;=AV$3,1,0)))</f>
        <v/>
      </c>
      <c r="AX18" s="11" t="n"/>
      <c r="AY18" s="18">
        <f>IF(OR(N(AX18)=0,$B18="",$C18=""),0,MAX(0,$B18+2-AX18+IF($C18&lt;=AX$3,1,0)+IF($C18+18&lt;=AX$3,1,0)+IF($C18+36&lt;=AX$3,1,0)))</f>
        <v/>
      </c>
      <c r="AZ18" s="11" t="n"/>
      <c r="BA18" s="18">
        <f>IF(OR(N(AZ18)=0,$B18="",$C18=""),0,MAX(0,$B18+2-AZ18+IF($C18&lt;=AZ$3,1,0)+IF($C18+18&lt;=AZ$3,1,0)+IF($C18+36&lt;=AZ$3,1,0)))</f>
        <v/>
      </c>
      <c r="BB18" s="11" t="n"/>
      <c r="BC18" s="18">
        <f>IF(OR(N(BB18)=0,$B18="",$C18=""),0,MAX(0,$B18+2-BB18+IF($C18&lt;=BB$3,1,0)+IF($C18+18&lt;=BB$3,1,0)+IF($C18+36&lt;=BB$3,1,0)))</f>
        <v/>
      </c>
      <c r="BD18" s="11" t="n"/>
      <c r="BE18" s="18">
        <f>IF(OR(N(BD18)=0,$B18="",$C18=""),0,MAX(0,$B18+2-BD18+IF($C18&lt;=BD$3,1,0)+IF($C18+18&lt;=BD$3,1,0)+IF($C18+36&lt;=BD$3,1,0)))</f>
        <v/>
      </c>
      <c r="BF18" s="11" t="n"/>
      <c r="BG18" s="18">
        <f>IF(OR(N(BF18)=0,$B18="",$C18=""),0,MAX(0,$B18+2-BF18+IF($C18&lt;=BF$3,1,0)+IF($C18+18&lt;=BF$3,1,0)+IF($C18+36&lt;=BF$3,1,0)))</f>
        <v/>
      </c>
      <c r="BH18" s="11" t="n"/>
      <c r="BI18" s="18">
        <f>IF(OR(N(BH18)=0,$B18="",$C18=""),0,MAX(0,$B18+2-BH18+IF($C18&lt;=BH$3,1,0)+IF($C18+18&lt;=BH$3,1,0)+IF($C18+36&lt;=BH$3,1,0)))</f>
        <v/>
      </c>
      <c r="BJ18" s="11" t="n"/>
      <c r="BK18" s="18">
        <f>IF(OR(N(BJ18)=0,$B18="",$C18=""),0,MAX(0,$B18+2-BJ18+IF($C18&lt;=BJ$3,1,0)+IF($C18+18&lt;=BJ$3,1,0)+IF($C18+36&lt;=BJ$3,1,0)))</f>
        <v/>
      </c>
      <c r="BL18" s="11" t="n"/>
      <c r="BM18" s="18">
        <f>IF(OR(N(BL18)=0,$B18="",$C18=""),0,MAX(0,$B18+2-BL18+IF($C18&lt;=BL$3,1,0)+IF($C18+18&lt;=BL$3,1,0)+IF($C18+36&lt;=BL$3,1,0)))</f>
        <v/>
      </c>
      <c r="BN18" s="11" t="n"/>
      <c r="BO18" s="18">
        <f>IF(OR(N(BN18)=0,$B18="",$C18=""),0,MAX(0,$B18+2-BN18+IF($C18&lt;=BN$3,1,0)+IF($C18+18&lt;=BN$3,1,0)+IF($C18+36&lt;=BN$3,1,0)))</f>
        <v/>
      </c>
    </row>
    <row r="19">
      <c r="A19" s="10" t="n">
        <v>14</v>
      </c>
      <c r="B19" s="27">
        <f>IF(Setup!Y$19="","",Setup!Y$19)</f>
        <v/>
      </c>
      <c r="C19" s="27">
        <f>IF(Setup!Z$19="","",Setup!Z$19)</f>
        <v/>
      </c>
      <c r="D19" s="11" t="n"/>
      <c r="E19" s="18">
        <f>IF(OR(N(D19)=0,$B19="",$C19=""),0,MAX(0,$B19+2-D19+IF($C19&lt;=D$3,1,0)+IF($C19+18&lt;=D$3,1,0)+IF($C19+36&lt;=D$3,1,0)))</f>
        <v/>
      </c>
      <c r="F19" s="11" t="n"/>
      <c r="G19" s="18">
        <f>IF(OR(N(F19)=0,$B19="",$C19=""),0,MAX(0,$B19+2-F19+IF($C19&lt;=F$3,1,0)+IF($C19+18&lt;=F$3,1,0)+IF($C19+36&lt;=F$3,1,0)))</f>
        <v/>
      </c>
      <c r="H19" s="11" t="n"/>
      <c r="I19" s="18">
        <f>IF(OR(N(H19)=0,$B19="",$C19=""),0,MAX(0,$B19+2-H19+IF($C19&lt;=H$3,1,0)+IF($C19+18&lt;=H$3,1,0)+IF($C19+36&lt;=H$3,1,0)))</f>
        <v/>
      </c>
      <c r="J19" s="11" t="n"/>
      <c r="K19" s="18">
        <f>IF(OR(N(J19)=0,$B19="",$C19=""),0,MAX(0,$B19+2-J19+IF($C19&lt;=J$3,1,0)+IF($C19+18&lt;=J$3,1,0)+IF($C19+36&lt;=J$3,1,0)))</f>
        <v/>
      </c>
      <c r="L19" s="11" t="n"/>
      <c r="M19" s="18">
        <f>IF(OR(N(L19)=0,$B19="",$C19=""),0,MAX(0,$B19+2-L19+IF($C19&lt;=L$3,1,0)+IF($C19+18&lt;=L$3,1,0)+IF($C19+36&lt;=L$3,1,0)))</f>
        <v/>
      </c>
      <c r="N19" s="11" t="n"/>
      <c r="O19" s="18">
        <f>IF(OR(N(N19)=0,$B19="",$C19=""),0,MAX(0,$B19+2-N19+IF($C19&lt;=N$3,1,0)+IF($C19+18&lt;=N$3,1,0)+IF($C19+36&lt;=N$3,1,0)))</f>
        <v/>
      </c>
      <c r="P19" s="11" t="n"/>
      <c r="Q19" s="18">
        <f>IF(OR(N(P19)=0,$B19="",$C19=""),0,MAX(0,$B19+2-P19+IF($C19&lt;=P$3,1,0)+IF($C19+18&lt;=P$3,1,0)+IF($C19+36&lt;=P$3,1,0)))</f>
        <v/>
      </c>
      <c r="R19" s="11" t="n"/>
      <c r="S19" s="18">
        <f>IF(OR(N(R19)=0,$B19="",$C19=""),0,MAX(0,$B19+2-R19+IF($C19&lt;=R$3,1,0)+IF($C19+18&lt;=R$3,1,0)+IF($C19+36&lt;=R$3,1,0)))</f>
        <v/>
      </c>
      <c r="T19" s="11" t="n"/>
      <c r="U19" s="18">
        <f>IF(OR(N(T19)=0,$B19="",$C19=""),0,MAX(0,$B19+2-T19+IF($C19&lt;=T$3,1,0)+IF($C19+18&lt;=T$3,1,0)+IF($C19+36&lt;=T$3,1,0)))</f>
        <v/>
      </c>
      <c r="V19" s="11" t="n"/>
      <c r="W19" s="18">
        <f>IF(OR(N(V19)=0,$B19="",$C19=""),0,MAX(0,$B19+2-V19+IF($C19&lt;=V$3,1,0)+IF($C19+18&lt;=V$3,1,0)+IF($C19+36&lt;=V$3,1,0)))</f>
        <v/>
      </c>
      <c r="X19" s="11" t="n"/>
      <c r="Y19" s="18">
        <f>IF(OR(N(X19)=0,$B19="",$C19=""),0,MAX(0,$B19+2-X19+IF($C19&lt;=X$3,1,0)+IF($C19+18&lt;=X$3,1,0)+IF($C19+36&lt;=X$3,1,0)))</f>
        <v/>
      </c>
      <c r="Z19" s="11" t="n"/>
      <c r="AA19" s="18">
        <f>IF(OR(N(Z19)=0,$B19="",$C19=""),0,MAX(0,$B19+2-Z19+IF($C19&lt;=Z$3,1,0)+IF($C19+18&lt;=Z$3,1,0)+IF($C19+36&lt;=Z$3,1,0)))</f>
        <v/>
      </c>
      <c r="AB19" s="11" t="n"/>
      <c r="AC19" s="18">
        <f>IF(OR(N(AB19)=0,$B19="",$C19=""),0,MAX(0,$B19+2-AB19+IF($C19&lt;=AB$3,1,0)+IF($C19+18&lt;=AB$3,1,0)+IF($C19+36&lt;=AB$3,1,0)))</f>
        <v/>
      </c>
      <c r="AD19" s="11" t="n"/>
      <c r="AE19" s="18">
        <f>IF(OR(N(AD19)=0,$B19="",$C19=""),0,MAX(0,$B19+2-AD19+IF($C19&lt;=AD$3,1,0)+IF($C19+18&lt;=AD$3,1,0)+IF($C19+36&lt;=AD$3,1,0)))</f>
        <v/>
      </c>
      <c r="AF19" s="11" t="n"/>
      <c r="AG19" s="18">
        <f>IF(OR(N(AF19)=0,$B19="",$C19=""),0,MAX(0,$B19+2-AF19+IF($C19&lt;=AF$3,1,0)+IF($C19+18&lt;=AF$3,1,0)+IF($C19+36&lt;=AF$3,1,0)))</f>
        <v/>
      </c>
      <c r="AH19" s="11" t="n"/>
      <c r="AI19" s="18">
        <f>IF(OR(N(AH19)=0,$B19="",$C19=""),0,MAX(0,$B19+2-AH19+IF($C19&lt;=AH$3,1,0)+IF($C19+18&lt;=AH$3,1,0)+IF($C19+36&lt;=AH$3,1,0)))</f>
        <v/>
      </c>
      <c r="AJ19" s="11" t="n"/>
      <c r="AK19" s="18">
        <f>IF(OR(N(AJ19)=0,$B19="",$C19=""),0,MAX(0,$B19+2-AJ19+IF($C19&lt;=AJ$3,1,0)+IF($C19+18&lt;=AJ$3,1,0)+IF($C19+36&lt;=AJ$3,1,0)))</f>
        <v/>
      </c>
      <c r="AL19" s="11" t="n"/>
      <c r="AM19" s="18">
        <f>IF(OR(N(AL19)=0,$B19="",$C19=""),0,MAX(0,$B19+2-AL19+IF($C19&lt;=AL$3,1,0)+IF($C19+18&lt;=AL$3,1,0)+IF($C19+36&lt;=AL$3,1,0)))</f>
        <v/>
      </c>
      <c r="AN19" s="11" t="n"/>
      <c r="AO19" s="18">
        <f>IF(OR(N(AN19)=0,$B19="",$C19=""),0,MAX(0,$B19+2-AN19+IF($C19&lt;=AN$3,1,0)+IF($C19+18&lt;=AN$3,1,0)+IF($C19+36&lt;=AN$3,1,0)))</f>
        <v/>
      </c>
      <c r="AP19" s="11" t="n"/>
      <c r="AQ19" s="18">
        <f>IF(OR(N(AP19)=0,$B19="",$C19=""),0,MAX(0,$B19+2-AP19+IF($C19&lt;=AP$3,1,0)+IF($C19+18&lt;=AP$3,1,0)+IF($C19+36&lt;=AP$3,1,0)))</f>
        <v/>
      </c>
      <c r="AR19" s="11" t="n"/>
      <c r="AS19" s="18">
        <f>IF(OR(N(AR19)=0,$B19="",$C19=""),0,MAX(0,$B19+2-AR19+IF($C19&lt;=AR$3,1,0)+IF($C19+18&lt;=AR$3,1,0)+IF($C19+36&lt;=AR$3,1,0)))</f>
        <v/>
      </c>
      <c r="AT19" s="11" t="n"/>
      <c r="AU19" s="18">
        <f>IF(OR(N(AT19)=0,$B19="",$C19=""),0,MAX(0,$B19+2-AT19+IF($C19&lt;=AT$3,1,0)+IF($C19+18&lt;=AT$3,1,0)+IF($C19+36&lt;=AT$3,1,0)))</f>
        <v/>
      </c>
      <c r="AV19" s="11" t="n"/>
      <c r="AW19" s="18">
        <f>IF(OR(N(AV19)=0,$B19="",$C19=""),0,MAX(0,$B19+2-AV19+IF($C19&lt;=AV$3,1,0)+IF($C19+18&lt;=AV$3,1,0)+IF($C19+36&lt;=AV$3,1,0)))</f>
        <v/>
      </c>
      <c r="AX19" s="11" t="n"/>
      <c r="AY19" s="18">
        <f>IF(OR(N(AX19)=0,$B19="",$C19=""),0,MAX(0,$B19+2-AX19+IF($C19&lt;=AX$3,1,0)+IF($C19+18&lt;=AX$3,1,0)+IF($C19+36&lt;=AX$3,1,0)))</f>
        <v/>
      </c>
      <c r="AZ19" s="11" t="n"/>
      <c r="BA19" s="18">
        <f>IF(OR(N(AZ19)=0,$B19="",$C19=""),0,MAX(0,$B19+2-AZ19+IF($C19&lt;=AZ$3,1,0)+IF($C19+18&lt;=AZ$3,1,0)+IF($C19+36&lt;=AZ$3,1,0)))</f>
        <v/>
      </c>
      <c r="BB19" s="11" t="n"/>
      <c r="BC19" s="18">
        <f>IF(OR(N(BB19)=0,$B19="",$C19=""),0,MAX(0,$B19+2-BB19+IF($C19&lt;=BB$3,1,0)+IF($C19+18&lt;=BB$3,1,0)+IF($C19+36&lt;=BB$3,1,0)))</f>
        <v/>
      </c>
      <c r="BD19" s="11" t="n"/>
      <c r="BE19" s="18">
        <f>IF(OR(N(BD19)=0,$B19="",$C19=""),0,MAX(0,$B19+2-BD19+IF($C19&lt;=BD$3,1,0)+IF($C19+18&lt;=BD$3,1,0)+IF($C19+36&lt;=BD$3,1,0)))</f>
        <v/>
      </c>
      <c r="BF19" s="11" t="n"/>
      <c r="BG19" s="18">
        <f>IF(OR(N(BF19)=0,$B19="",$C19=""),0,MAX(0,$B19+2-BF19+IF($C19&lt;=BF$3,1,0)+IF($C19+18&lt;=BF$3,1,0)+IF($C19+36&lt;=BF$3,1,0)))</f>
        <v/>
      </c>
      <c r="BH19" s="11" t="n"/>
      <c r="BI19" s="18">
        <f>IF(OR(N(BH19)=0,$B19="",$C19=""),0,MAX(0,$B19+2-BH19+IF($C19&lt;=BH$3,1,0)+IF($C19+18&lt;=BH$3,1,0)+IF($C19+36&lt;=BH$3,1,0)))</f>
        <v/>
      </c>
      <c r="BJ19" s="11" t="n"/>
      <c r="BK19" s="18">
        <f>IF(OR(N(BJ19)=0,$B19="",$C19=""),0,MAX(0,$B19+2-BJ19+IF($C19&lt;=BJ$3,1,0)+IF($C19+18&lt;=BJ$3,1,0)+IF($C19+36&lt;=BJ$3,1,0)))</f>
        <v/>
      </c>
      <c r="BL19" s="11" t="n"/>
      <c r="BM19" s="18">
        <f>IF(OR(N(BL19)=0,$B19="",$C19=""),0,MAX(0,$B19+2-BL19+IF($C19&lt;=BL$3,1,0)+IF($C19+18&lt;=BL$3,1,0)+IF($C19+36&lt;=BL$3,1,0)))</f>
        <v/>
      </c>
      <c r="BN19" s="11" t="n"/>
      <c r="BO19" s="18">
        <f>IF(OR(N(BN19)=0,$B19="",$C19=""),0,MAX(0,$B19+2-BN19+IF($C19&lt;=BN$3,1,0)+IF($C19+18&lt;=BN$3,1,0)+IF($C19+36&lt;=BN$3,1,0)))</f>
        <v/>
      </c>
    </row>
    <row r="20">
      <c r="A20" s="10" t="n">
        <v>15</v>
      </c>
      <c r="B20" s="27">
        <f>IF(Setup!Y$20="","",Setup!Y$20)</f>
        <v/>
      </c>
      <c r="C20" s="27">
        <f>IF(Setup!Z$20="","",Setup!Z$20)</f>
        <v/>
      </c>
      <c r="D20" s="11" t="n"/>
      <c r="E20" s="18">
        <f>IF(OR(N(D20)=0,$B20="",$C20=""),0,MAX(0,$B20+2-D20+IF($C20&lt;=D$3,1,0)+IF($C20+18&lt;=D$3,1,0)+IF($C20+36&lt;=D$3,1,0)))</f>
        <v/>
      </c>
      <c r="F20" s="11" t="n"/>
      <c r="G20" s="18">
        <f>IF(OR(N(F20)=0,$B20="",$C20=""),0,MAX(0,$B20+2-F20+IF($C20&lt;=F$3,1,0)+IF($C20+18&lt;=F$3,1,0)+IF($C20+36&lt;=F$3,1,0)))</f>
        <v/>
      </c>
      <c r="H20" s="11" t="n"/>
      <c r="I20" s="18">
        <f>IF(OR(N(H20)=0,$B20="",$C20=""),0,MAX(0,$B20+2-H20+IF($C20&lt;=H$3,1,0)+IF($C20+18&lt;=H$3,1,0)+IF($C20+36&lt;=H$3,1,0)))</f>
        <v/>
      </c>
      <c r="J20" s="11" t="n"/>
      <c r="K20" s="18">
        <f>IF(OR(N(J20)=0,$B20="",$C20=""),0,MAX(0,$B20+2-J20+IF($C20&lt;=J$3,1,0)+IF($C20+18&lt;=J$3,1,0)+IF($C20+36&lt;=J$3,1,0)))</f>
        <v/>
      </c>
      <c r="L20" s="11" t="n"/>
      <c r="M20" s="18">
        <f>IF(OR(N(L20)=0,$B20="",$C20=""),0,MAX(0,$B20+2-L20+IF($C20&lt;=L$3,1,0)+IF($C20+18&lt;=L$3,1,0)+IF($C20+36&lt;=L$3,1,0)))</f>
        <v/>
      </c>
      <c r="N20" s="11" t="n"/>
      <c r="O20" s="18">
        <f>IF(OR(N(N20)=0,$B20="",$C20=""),0,MAX(0,$B20+2-N20+IF($C20&lt;=N$3,1,0)+IF($C20+18&lt;=N$3,1,0)+IF($C20+36&lt;=N$3,1,0)))</f>
        <v/>
      </c>
      <c r="P20" s="11" t="n"/>
      <c r="Q20" s="18">
        <f>IF(OR(N(P20)=0,$B20="",$C20=""),0,MAX(0,$B20+2-P20+IF($C20&lt;=P$3,1,0)+IF($C20+18&lt;=P$3,1,0)+IF($C20+36&lt;=P$3,1,0)))</f>
        <v/>
      </c>
      <c r="R20" s="11" t="n"/>
      <c r="S20" s="18">
        <f>IF(OR(N(R20)=0,$B20="",$C20=""),0,MAX(0,$B20+2-R20+IF($C20&lt;=R$3,1,0)+IF($C20+18&lt;=R$3,1,0)+IF($C20+36&lt;=R$3,1,0)))</f>
        <v/>
      </c>
      <c r="T20" s="11" t="n"/>
      <c r="U20" s="18">
        <f>IF(OR(N(T20)=0,$B20="",$C20=""),0,MAX(0,$B20+2-T20+IF($C20&lt;=T$3,1,0)+IF($C20+18&lt;=T$3,1,0)+IF($C20+36&lt;=T$3,1,0)))</f>
        <v/>
      </c>
      <c r="V20" s="11" t="n"/>
      <c r="W20" s="18">
        <f>IF(OR(N(V20)=0,$B20="",$C20=""),0,MAX(0,$B20+2-V20+IF($C20&lt;=V$3,1,0)+IF($C20+18&lt;=V$3,1,0)+IF($C20+36&lt;=V$3,1,0)))</f>
        <v/>
      </c>
      <c r="X20" s="11" t="n"/>
      <c r="Y20" s="18">
        <f>IF(OR(N(X20)=0,$B20="",$C20=""),0,MAX(0,$B20+2-X20+IF($C20&lt;=X$3,1,0)+IF($C20+18&lt;=X$3,1,0)+IF($C20+36&lt;=X$3,1,0)))</f>
        <v/>
      </c>
      <c r="Z20" s="11" t="n"/>
      <c r="AA20" s="18">
        <f>IF(OR(N(Z20)=0,$B20="",$C20=""),0,MAX(0,$B20+2-Z20+IF($C20&lt;=Z$3,1,0)+IF($C20+18&lt;=Z$3,1,0)+IF($C20+36&lt;=Z$3,1,0)))</f>
        <v/>
      </c>
      <c r="AB20" s="11" t="n"/>
      <c r="AC20" s="18">
        <f>IF(OR(N(AB20)=0,$B20="",$C20=""),0,MAX(0,$B20+2-AB20+IF($C20&lt;=AB$3,1,0)+IF($C20+18&lt;=AB$3,1,0)+IF($C20+36&lt;=AB$3,1,0)))</f>
        <v/>
      </c>
      <c r="AD20" s="11" t="n"/>
      <c r="AE20" s="18">
        <f>IF(OR(N(AD20)=0,$B20="",$C20=""),0,MAX(0,$B20+2-AD20+IF($C20&lt;=AD$3,1,0)+IF($C20+18&lt;=AD$3,1,0)+IF($C20+36&lt;=AD$3,1,0)))</f>
        <v/>
      </c>
      <c r="AF20" s="11" t="n"/>
      <c r="AG20" s="18">
        <f>IF(OR(N(AF20)=0,$B20="",$C20=""),0,MAX(0,$B20+2-AF20+IF($C20&lt;=AF$3,1,0)+IF($C20+18&lt;=AF$3,1,0)+IF($C20+36&lt;=AF$3,1,0)))</f>
        <v/>
      </c>
      <c r="AH20" s="11" t="n"/>
      <c r="AI20" s="18">
        <f>IF(OR(N(AH20)=0,$B20="",$C20=""),0,MAX(0,$B20+2-AH20+IF($C20&lt;=AH$3,1,0)+IF($C20+18&lt;=AH$3,1,0)+IF($C20+36&lt;=AH$3,1,0)))</f>
        <v/>
      </c>
      <c r="AJ20" s="11" t="n"/>
      <c r="AK20" s="18">
        <f>IF(OR(N(AJ20)=0,$B20="",$C20=""),0,MAX(0,$B20+2-AJ20+IF($C20&lt;=AJ$3,1,0)+IF($C20+18&lt;=AJ$3,1,0)+IF($C20+36&lt;=AJ$3,1,0)))</f>
        <v/>
      </c>
      <c r="AL20" s="11" t="n"/>
      <c r="AM20" s="18">
        <f>IF(OR(N(AL20)=0,$B20="",$C20=""),0,MAX(0,$B20+2-AL20+IF($C20&lt;=AL$3,1,0)+IF($C20+18&lt;=AL$3,1,0)+IF($C20+36&lt;=AL$3,1,0)))</f>
        <v/>
      </c>
      <c r="AN20" s="11" t="n"/>
      <c r="AO20" s="18">
        <f>IF(OR(N(AN20)=0,$B20="",$C20=""),0,MAX(0,$B20+2-AN20+IF($C20&lt;=AN$3,1,0)+IF($C20+18&lt;=AN$3,1,0)+IF($C20+36&lt;=AN$3,1,0)))</f>
        <v/>
      </c>
      <c r="AP20" s="11" t="n"/>
      <c r="AQ20" s="18">
        <f>IF(OR(N(AP20)=0,$B20="",$C20=""),0,MAX(0,$B20+2-AP20+IF($C20&lt;=AP$3,1,0)+IF($C20+18&lt;=AP$3,1,0)+IF($C20+36&lt;=AP$3,1,0)))</f>
        <v/>
      </c>
      <c r="AR20" s="11" t="n"/>
      <c r="AS20" s="18">
        <f>IF(OR(N(AR20)=0,$B20="",$C20=""),0,MAX(0,$B20+2-AR20+IF($C20&lt;=AR$3,1,0)+IF($C20+18&lt;=AR$3,1,0)+IF($C20+36&lt;=AR$3,1,0)))</f>
        <v/>
      </c>
      <c r="AT20" s="11" t="n"/>
      <c r="AU20" s="18">
        <f>IF(OR(N(AT20)=0,$B20="",$C20=""),0,MAX(0,$B20+2-AT20+IF($C20&lt;=AT$3,1,0)+IF($C20+18&lt;=AT$3,1,0)+IF($C20+36&lt;=AT$3,1,0)))</f>
        <v/>
      </c>
      <c r="AV20" s="11" t="n"/>
      <c r="AW20" s="18">
        <f>IF(OR(N(AV20)=0,$B20="",$C20=""),0,MAX(0,$B20+2-AV20+IF($C20&lt;=AV$3,1,0)+IF($C20+18&lt;=AV$3,1,0)+IF($C20+36&lt;=AV$3,1,0)))</f>
        <v/>
      </c>
      <c r="AX20" s="11" t="n"/>
      <c r="AY20" s="18">
        <f>IF(OR(N(AX20)=0,$B20="",$C20=""),0,MAX(0,$B20+2-AX20+IF($C20&lt;=AX$3,1,0)+IF($C20+18&lt;=AX$3,1,0)+IF($C20+36&lt;=AX$3,1,0)))</f>
        <v/>
      </c>
      <c r="AZ20" s="11" t="n"/>
      <c r="BA20" s="18">
        <f>IF(OR(N(AZ20)=0,$B20="",$C20=""),0,MAX(0,$B20+2-AZ20+IF($C20&lt;=AZ$3,1,0)+IF($C20+18&lt;=AZ$3,1,0)+IF($C20+36&lt;=AZ$3,1,0)))</f>
        <v/>
      </c>
      <c r="BB20" s="11" t="n"/>
      <c r="BC20" s="18">
        <f>IF(OR(N(BB20)=0,$B20="",$C20=""),0,MAX(0,$B20+2-BB20+IF($C20&lt;=BB$3,1,0)+IF($C20+18&lt;=BB$3,1,0)+IF($C20+36&lt;=BB$3,1,0)))</f>
        <v/>
      </c>
      <c r="BD20" s="11" t="n"/>
      <c r="BE20" s="18">
        <f>IF(OR(N(BD20)=0,$B20="",$C20=""),0,MAX(0,$B20+2-BD20+IF($C20&lt;=BD$3,1,0)+IF($C20+18&lt;=BD$3,1,0)+IF($C20+36&lt;=BD$3,1,0)))</f>
        <v/>
      </c>
      <c r="BF20" s="11" t="n"/>
      <c r="BG20" s="18">
        <f>IF(OR(N(BF20)=0,$B20="",$C20=""),0,MAX(0,$B20+2-BF20+IF($C20&lt;=BF$3,1,0)+IF($C20+18&lt;=BF$3,1,0)+IF($C20+36&lt;=BF$3,1,0)))</f>
        <v/>
      </c>
      <c r="BH20" s="11" t="n"/>
      <c r="BI20" s="18">
        <f>IF(OR(N(BH20)=0,$B20="",$C20=""),0,MAX(0,$B20+2-BH20+IF($C20&lt;=BH$3,1,0)+IF($C20+18&lt;=BH$3,1,0)+IF($C20+36&lt;=BH$3,1,0)))</f>
        <v/>
      </c>
      <c r="BJ20" s="11" t="n"/>
      <c r="BK20" s="18">
        <f>IF(OR(N(BJ20)=0,$B20="",$C20=""),0,MAX(0,$B20+2-BJ20+IF($C20&lt;=BJ$3,1,0)+IF($C20+18&lt;=BJ$3,1,0)+IF($C20+36&lt;=BJ$3,1,0)))</f>
        <v/>
      </c>
      <c r="BL20" s="11" t="n"/>
      <c r="BM20" s="18">
        <f>IF(OR(N(BL20)=0,$B20="",$C20=""),0,MAX(0,$B20+2-BL20+IF($C20&lt;=BL$3,1,0)+IF($C20+18&lt;=BL$3,1,0)+IF($C20+36&lt;=BL$3,1,0)))</f>
        <v/>
      </c>
      <c r="BN20" s="11" t="n"/>
      <c r="BO20" s="18">
        <f>IF(OR(N(BN20)=0,$B20="",$C20=""),0,MAX(0,$B20+2-BN20+IF($C20&lt;=BN$3,1,0)+IF($C20+18&lt;=BN$3,1,0)+IF($C20+36&lt;=BN$3,1,0)))</f>
        <v/>
      </c>
    </row>
    <row r="21">
      <c r="A21" s="10" t="n">
        <v>16</v>
      </c>
      <c r="B21" s="27">
        <f>IF(Setup!Y$21="","",Setup!Y$21)</f>
        <v/>
      </c>
      <c r="C21" s="27">
        <f>IF(Setup!Z$21="","",Setup!Z$21)</f>
        <v/>
      </c>
      <c r="D21" s="11" t="n"/>
      <c r="E21" s="18">
        <f>IF(OR(N(D21)=0,$B21="",$C21=""),0,MAX(0,$B21+2-D21+IF($C21&lt;=D$3,1,0)+IF($C21+18&lt;=D$3,1,0)+IF($C21+36&lt;=D$3,1,0)))</f>
        <v/>
      </c>
      <c r="F21" s="11" t="n"/>
      <c r="G21" s="18">
        <f>IF(OR(N(F21)=0,$B21="",$C21=""),0,MAX(0,$B21+2-F21+IF($C21&lt;=F$3,1,0)+IF($C21+18&lt;=F$3,1,0)+IF($C21+36&lt;=F$3,1,0)))</f>
        <v/>
      </c>
      <c r="H21" s="11" t="n"/>
      <c r="I21" s="18">
        <f>IF(OR(N(H21)=0,$B21="",$C21=""),0,MAX(0,$B21+2-H21+IF($C21&lt;=H$3,1,0)+IF($C21+18&lt;=H$3,1,0)+IF($C21+36&lt;=H$3,1,0)))</f>
        <v/>
      </c>
      <c r="J21" s="11" t="n"/>
      <c r="K21" s="18">
        <f>IF(OR(N(J21)=0,$B21="",$C21=""),0,MAX(0,$B21+2-J21+IF($C21&lt;=J$3,1,0)+IF($C21+18&lt;=J$3,1,0)+IF($C21+36&lt;=J$3,1,0)))</f>
        <v/>
      </c>
      <c r="L21" s="11" t="n"/>
      <c r="M21" s="18">
        <f>IF(OR(N(L21)=0,$B21="",$C21=""),0,MAX(0,$B21+2-L21+IF($C21&lt;=L$3,1,0)+IF($C21+18&lt;=L$3,1,0)+IF($C21+36&lt;=L$3,1,0)))</f>
        <v/>
      </c>
      <c r="N21" s="11" t="n"/>
      <c r="O21" s="18">
        <f>IF(OR(N(N21)=0,$B21="",$C21=""),0,MAX(0,$B21+2-N21+IF($C21&lt;=N$3,1,0)+IF($C21+18&lt;=N$3,1,0)+IF($C21+36&lt;=N$3,1,0)))</f>
        <v/>
      </c>
      <c r="P21" s="11" t="n"/>
      <c r="Q21" s="18">
        <f>IF(OR(N(P21)=0,$B21="",$C21=""),0,MAX(0,$B21+2-P21+IF($C21&lt;=P$3,1,0)+IF($C21+18&lt;=P$3,1,0)+IF($C21+36&lt;=P$3,1,0)))</f>
        <v/>
      </c>
      <c r="R21" s="11" t="n"/>
      <c r="S21" s="18">
        <f>IF(OR(N(R21)=0,$B21="",$C21=""),0,MAX(0,$B21+2-R21+IF($C21&lt;=R$3,1,0)+IF($C21+18&lt;=R$3,1,0)+IF($C21+36&lt;=R$3,1,0)))</f>
        <v/>
      </c>
      <c r="T21" s="11" t="n"/>
      <c r="U21" s="18">
        <f>IF(OR(N(T21)=0,$B21="",$C21=""),0,MAX(0,$B21+2-T21+IF($C21&lt;=T$3,1,0)+IF($C21+18&lt;=T$3,1,0)+IF($C21+36&lt;=T$3,1,0)))</f>
        <v/>
      </c>
      <c r="V21" s="11" t="n"/>
      <c r="W21" s="18">
        <f>IF(OR(N(V21)=0,$B21="",$C21=""),0,MAX(0,$B21+2-V21+IF($C21&lt;=V$3,1,0)+IF($C21+18&lt;=V$3,1,0)+IF($C21+36&lt;=V$3,1,0)))</f>
        <v/>
      </c>
      <c r="X21" s="11" t="n"/>
      <c r="Y21" s="18">
        <f>IF(OR(N(X21)=0,$B21="",$C21=""),0,MAX(0,$B21+2-X21+IF($C21&lt;=X$3,1,0)+IF($C21+18&lt;=X$3,1,0)+IF($C21+36&lt;=X$3,1,0)))</f>
        <v/>
      </c>
      <c r="Z21" s="11" t="n"/>
      <c r="AA21" s="18">
        <f>IF(OR(N(Z21)=0,$B21="",$C21=""),0,MAX(0,$B21+2-Z21+IF($C21&lt;=Z$3,1,0)+IF($C21+18&lt;=Z$3,1,0)+IF($C21+36&lt;=Z$3,1,0)))</f>
        <v/>
      </c>
      <c r="AB21" s="11" t="n"/>
      <c r="AC21" s="18">
        <f>IF(OR(N(AB21)=0,$B21="",$C21=""),0,MAX(0,$B21+2-AB21+IF($C21&lt;=AB$3,1,0)+IF($C21+18&lt;=AB$3,1,0)+IF($C21+36&lt;=AB$3,1,0)))</f>
        <v/>
      </c>
      <c r="AD21" s="11" t="n"/>
      <c r="AE21" s="18">
        <f>IF(OR(N(AD21)=0,$B21="",$C21=""),0,MAX(0,$B21+2-AD21+IF($C21&lt;=AD$3,1,0)+IF($C21+18&lt;=AD$3,1,0)+IF($C21+36&lt;=AD$3,1,0)))</f>
        <v/>
      </c>
      <c r="AF21" s="11" t="n"/>
      <c r="AG21" s="18">
        <f>IF(OR(N(AF21)=0,$B21="",$C21=""),0,MAX(0,$B21+2-AF21+IF($C21&lt;=AF$3,1,0)+IF($C21+18&lt;=AF$3,1,0)+IF($C21+36&lt;=AF$3,1,0)))</f>
        <v/>
      </c>
      <c r="AH21" s="11" t="n"/>
      <c r="AI21" s="18">
        <f>IF(OR(N(AH21)=0,$B21="",$C21=""),0,MAX(0,$B21+2-AH21+IF($C21&lt;=AH$3,1,0)+IF($C21+18&lt;=AH$3,1,0)+IF($C21+36&lt;=AH$3,1,0)))</f>
        <v/>
      </c>
      <c r="AJ21" s="11" t="n"/>
      <c r="AK21" s="18">
        <f>IF(OR(N(AJ21)=0,$B21="",$C21=""),0,MAX(0,$B21+2-AJ21+IF($C21&lt;=AJ$3,1,0)+IF($C21+18&lt;=AJ$3,1,0)+IF($C21+36&lt;=AJ$3,1,0)))</f>
        <v/>
      </c>
      <c r="AL21" s="11" t="n"/>
      <c r="AM21" s="18">
        <f>IF(OR(N(AL21)=0,$B21="",$C21=""),0,MAX(0,$B21+2-AL21+IF($C21&lt;=AL$3,1,0)+IF($C21+18&lt;=AL$3,1,0)+IF($C21+36&lt;=AL$3,1,0)))</f>
        <v/>
      </c>
      <c r="AN21" s="11" t="n"/>
      <c r="AO21" s="18">
        <f>IF(OR(N(AN21)=0,$B21="",$C21=""),0,MAX(0,$B21+2-AN21+IF($C21&lt;=AN$3,1,0)+IF($C21+18&lt;=AN$3,1,0)+IF($C21+36&lt;=AN$3,1,0)))</f>
        <v/>
      </c>
      <c r="AP21" s="11" t="n"/>
      <c r="AQ21" s="18">
        <f>IF(OR(N(AP21)=0,$B21="",$C21=""),0,MAX(0,$B21+2-AP21+IF($C21&lt;=AP$3,1,0)+IF($C21+18&lt;=AP$3,1,0)+IF($C21+36&lt;=AP$3,1,0)))</f>
        <v/>
      </c>
      <c r="AR21" s="11" t="n"/>
      <c r="AS21" s="18">
        <f>IF(OR(N(AR21)=0,$B21="",$C21=""),0,MAX(0,$B21+2-AR21+IF($C21&lt;=AR$3,1,0)+IF($C21+18&lt;=AR$3,1,0)+IF($C21+36&lt;=AR$3,1,0)))</f>
        <v/>
      </c>
      <c r="AT21" s="11" t="n"/>
      <c r="AU21" s="18">
        <f>IF(OR(N(AT21)=0,$B21="",$C21=""),0,MAX(0,$B21+2-AT21+IF($C21&lt;=AT$3,1,0)+IF($C21+18&lt;=AT$3,1,0)+IF($C21+36&lt;=AT$3,1,0)))</f>
        <v/>
      </c>
      <c r="AV21" s="11" t="n"/>
      <c r="AW21" s="18">
        <f>IF(OR(N(AV21)=0,$B21="",$C21=""),0,MAX(0,$B21+2-AV21+IF($C21&lt;=AV$3,1,0)+IF($C21+18&lt;=AV$3,1,0)+IF($C21+36&lt;=AV$3,1,0)))</f>
        <v/>
      </c>
      <c r="AX21" s="11" t="n"/>
      <c r="AY21" s="18">
        <f>IF(OR(N(AX21)=0,$B21="",$C21=""),0,MAX(0,$B21+2-AX21+IF($C21&lt;=AX$3,1,0)+IF($C21+18&lt;=AX$3,1,0)+IF($C21+36&lt;=AX$3,1,0)))</f>
        <v/>
      </c>
      <c r="AZ21" s="11" t="n"/>
      <c r="BA21" s="18">
        <f>IF(OR(N(AZ21)=0,$B21="",$C21=""),0,MAX(0,$B21+2-AZ21+IF($C21&lt;=AZ$3,1,0)+IF($C21+18&lt;=AZ$3,1,0)+IF($C21+36&lt;=AZ$3,1,0)))</f>
        <v/>
      </c>
      <c r="BB21" s="11" t="n"/>
      <c r="BC21" s="18">
        <f>IF(OR(N(BB21)=0,$B21="",$C21=""),0,MAX(0,$B21+2-BB21+IF($C21&lt;=BB$3,1,0)+IF($C21+18&lt;=BB$3,1,0)+IF($C21+36&lt;=BB$3,1,0)))</f>
        <v/>
      </c>
      <c r="BD21" s="11" t="n"/>
      <c r="BE21" s="18">
        <f>IF(OR(N(BD21)=0,$B21="",$C21=""),0,MAX(0,$B21+2-BD21+IF($C21&lt;=BD$3,1,0)+IF($C21+18&lt;=BD$3,1,0)+IF($C21+36&lt;=BD$3,1,0)))</f>
        <v/>
      </c>
      <c r="BF21" s="11" t="n"/>
      <c r="BG21" s="18">
        <f>IF(OR(N(BF21)=0,$B21="",$C21=""),0,MAX(0,$B21+2-BF21+IF($C21&lt;=BF$3,1,0)+IF($C21+18&lt;=BF$3,1,0)+IF($C21+36&lt;=BF$3,1,0)))</f>
        <v/>
      </c>
      <c r="BH21" s="11" t="n"/>
      <c r="BI21" s="18">
        <f>IF(OR(N(BH21)=0,$B21="",$C21=""),0,MAX(0,$B21+2-BH21+IF($C21&lt;=BH$3,1,0)+IF($C21+18&lt;=BH$3,1,0)+IF($C21+36&lt;=BH$3,1,0)))</f>
        <v/>
      </c>
      <c r="BJ21" s="11" t="n"/>
      <c r="BK21" s="18">
        <f>IF(OR(N(BJ21)=0,$B21="",$C21=""),0,MAX(0,$B21+2-BJ21+IF($C21&lt;=BJ$3,1,0)+IF($C21+18&lt;=BJ$3,1,0)+IF($C21+36&lt;=BJ$3,1,0)))</f>
        <v/>
      </c>
      <c r="BL21" s="11" t="n"/>
      <c r="BM21" s="18">
        <f>IF(OR(N(BL21)=0,$B21="",$C21=""),0,MAX(0,$B21+2-BL21+IF($C21&lt;=BL$3,1,0)+IF($C21+18&lt;=BL$3,1,0)+IF($C21+36&lt;=BL$3,1,0)))</f>
        <v/>
      </c>
      <c r="BN21" s="11" t="n"/>
      <c r="BO21" s="18">
        <f>IF(OR(N(BN21)=0,$B21="",$C21=""),0,MAX(0,$B21+2-BN21+IF($C21&lt;=BN$3,1,0)+IF($C21+18&lt;=BN$3,1,0)+IF($C21+36&lt;=BN$3,1,0)))</f>
        <v/>
      </c>
    </row>
    <row r="22">
      <c r="A22" s="10" t="n">
        <v>17</v>
      </c>
      <c r="B22" s="27">
        <f>IF(Setup!Y$22="","",Setup!Y$22)</f>
        <v/>
      </c>
      <c r="C22" s="27">
        <f>IF(Setup!Z$22="","",Setup!Z$22)</f>
        <v/>
      </c>
      <c r="D22" s="11" t="n"/>
      <c r="E22" s="18">
        <f>IF(OR(N(D22)=0,$B22="",$C22=""),0,MAX(0,$B22+2-D22+IF($C22&lt;=D$3,1,0)+IF($C22+18&lt;=D$3,1,0)+IF($C22+36&lt;=D$3,1,0)))</f>
        <v/>
      </c>
      <c r="F22" s="11" t="n"/>
      <c r="G22" s="18">
        <f>IF(OR(N(F22)=0,$B22="",$C22=""),0,MAX(0,$B22+2-F22+IF($C22&lt;=F$3,1,0)+IF($C22+18&lt;=F$3,1,0)+IF($C22+36&lt;=F$3,1,0)))</f>
        <v/>
      </c>
      <c r="H22" s="11" t="n"/>
      <c r="I22" s="18">
        <f>IF(OR(N(H22)=0,$B22="",$C22=""),0,MAX(0,$B22+2-H22+IF($C22&lt;=H$3,1,0)+IF($C22+18&lt;=H$3,1,0)+IF($C22+36&lt;=H$3,1,0)))</f>
        <v/>
      </c>
      <c r="J22" s="11" t="n"/>
      <c r="K22" s="18">
        <f>IF(OR(N(J22)=0,$B22="",$C22=""),0,MAX(0,$B22+2-J22+IF($C22&lt;=J$3,1,0)+IF($C22+18&lt;=J$3,1,0)+IF($C22+36&lt;=J$3,1,0)))</f>
        <v/>
      </c>
      <c r="L22" s="11" t="n"/>
      <c r="M22" s="18">
        <f>IF(OR(N(L22)=0,$B22="",$C22=""),0,MAX(0,$B22+2-L22+IF($C22&lt;=L$3,1,0)+IF($C22+18&lt;=L$3,1,0)+IF($C22+36&lt;=L$3,1,0)))</f>
        <v/>
      </c>
      <c r="N22" s="11" t="n"/>
      <c r="O22" s="18">
        <f>IF(OR(N(N22)=0,$B22="",$C22=""),0,MAX(0,$B22+2-N22+IF($C22&lt;=N$3,1,0)+IF($C22+18&lt;=N$3,1,0)+IF($C22+36&lt;=N$3,1,0)))</f>
        <v/>
      </c>
      <c r="P22" s="11" t="n"/>
      <c r="Q22" s="18">
        <f>IF(OR(N(P22)=0,$B22="",$C22=""),0,MAX(0,$B22+2-P22+IF($C22&lt;=P$3,1,0)+IF($C22+18&lt;=P$3,1,0)+IF($C22+36&lt;=P$3,1,0)))</f>
        <v/>
      </c>
      <c r="R22" s="11" t="n"/>
      <c r="S22" s="18">
        <f>IF(OR(N(R22)=0,$B22="",$C22=""),0,MAX(0,$B22+2-R22+IF($C22&lt;=R$3,1,0)+IF($C22+18&lt;=R$3,1,0)+IF($C22+36&lt;=R$3,1,0)))</f>
        <v/>
      </c>
      <c r="T22" s="11" t="n"/>
      <c r="U22" s="18">
        <f>IF(OR(N(T22)=0,$B22="",$C22=""),0,MAX(0,$B22+2-T22+IF($C22&lt;=T$3,1,0)+IF($C22+18&lt;=T$3,1,0)+IF($C22+36&lt;=T$3,1,0)))</f>
        <v/>
      </c>
      <c r="V22" s="11" t="n"/>
      <c r="W22" s="18">
        <f>IF(OR(N(V22)=0,$B22="",$C22=""),0,MAX(0,$B22+2-V22+IF($C22&lt;=V$3,1,0)+IF($C22+18&lt;=V$3,1,0)+IF($C22+36&lt;=V$3,1,0)))</f>
        <v/>
      </c>
      <c r="X22" s="11" t="n"/>
      <c r="Y22" s="18">
        <f>IF(OR(N(X22)=0,$B22="",$C22=""),0,MAX(0,$B22+2-X22+IF($C22&lt;=X$3,1,0)+IF($C22+18&lt;=X$3,1,0)+IF($C22+36&lt;=X$3,1,0)))</f>
        <v/>
      </c>
      <c r="Z22" s="11" t="n"/>
      <c r="AA22" s="18">
        <f>IF(OR(N(Z22)=0,$B22="",$C22=""),0,MAX(0,$B22+2-Z22+IF($C22&lt;=Z$3,1,0)+IF($C22+18&lt;=Z$3,1,0)+IF($C22+36&lt;=Z$3,1,0)))</f>
        <v/>
      </c>
      <c r="AB22" s="11" t="n"/>
      <c r="AC22" s="18">
        <f>IF(OR(N(AB22)=0,$B22="",$C22=""),0,MAX(0,$B22+2-AB22+IF($C22&lt;=AB$3,1,0)+IF($C22+18&lt;=AB$3,1,0)+IF($C22+36&lt;=AB$3,1,0)))</f>
        <v/>
      </c>
      <c r="AD22" s="11" t="n"/>
      <c r="AE22" s="18">
        <f>IF(OR(N(AD22)=0,$B22="",$C22=""),0,MAX(0,$B22+2-AD22+IF($C22&lt;=AD$3,1,0)+IF($C22+18&lt;=AD$3,1,0)+IF($C22+36&lt;=AD$3,1,0)))</f>
        <v/>
      </c>
      <c r="AF22" s="11" t="n"/>
      <c r="AG22" s="18">
        <f>IF(OR(N(AF22)=0,$B22="",$C22=""),0,MAX(0,$B22+2-AF22+IF($C22&lt;=AF$3,1,0)+IF($C22+18&lt;=AF$3,1,0)+IF($C22+36&lt;=AF$3,1,0)))</f>
        <v/>
      </c>
      <c r="AH22" s="11" t="n"/>
      <c r="AI22" s="18">
        <f>IF(OR(N(AH22)=0,$B22="",$C22=""),0,MAX(0,$B22+2-AH22+IF($C22&lt;=AH$3,1,0)+IF($C22+18&lt;=AH$3,1,0)+IF($C22+36&lt;=AH$3,1,0)))</f>
        <v/>
      </c>
      <c r="AJ22" s="11" t="n"/>
      <c r="AK22" s="18">
        <f>IF(OR(N(AJ22)=0,$B22="",$C22=""),0,MAX(0,$B22+2-AJ22+IF($C22&lt;=AJ$3,1,0)+IF($C22+18&lt;=AJ$3,1,0)+IF($C22+36&lt;=AJ$3,1,0)))</f>
        <v/>
      </c>
      <c r="AL22" s="11" t="n"/>
      <c r="AM22" s="18">
        <f>IF(OR(N(AL22)=0,$B22="",$C22=""),0,MAX(0,$B22+2-AL22+IF($C22&lt;=AL$3,1,0)+IF($C22+18&lt;=AL$3,1,0)+IF($C22+36&lt;=AL$3,1,0)))</f>
        <v/>
      </c>
      <c r="AN22" s="11" t="n"/>
      <c r="AO22" s="18">
        <f>IF(OR(N(AN22)=0,$B22="",$C22=""),0,MAX(0,$B22+2-AN22+IF($C22&lt;=AN$3,1,0)+IF($C22+18&lt;=AN$3,1,0)+IF($C22+36&lt;=AN$3,1,0)))</f>
        <v/>
      </c>
      <c r="AP22" s="11" t="n"/>
      <c r="AQ22" s="18">
        <f>IF(OR(N(AP22)=0,$B22="",$C22=""),0,MAX(0,$B22+2-AP22+IF($C22&lt;=AP$3,1,0)+IF($C22+18&lt;=AP$3,1,0)+IF($C22+36&lt;=AP$3,1,0)))</f>
        <v/>
      </c>
      <c r="AR22" s="11" t="n"/>
      <c r="AS22" s="18">
        <f>IF(OR(N(AR22)=0,$B22="",$C22=""),0,MAX(0,$B22+2-AR22+IF($C22&lt;=AR$3,1,0)+IF($C22+18&lt;=AR$3,1,0)+IF($C22+36&lt;=AR$3,1,0)))</f>
        <v/>
      </c>
      <c r="AT22" s="11" t="n"/>
      <c r="AU22" s="18">
        <f>IF(OR(N(AT22)=0,$B22="",$C22=""),0,MAX(0,$B22+2-AT22+IF($C22&lt;=AT$3,1,0)+IF($C22+18&lt;=AT$3,1,0)+IF($C22+36&lt;=AT$3,1,0)))</f>
        <v/>
      </c>
      <c r="AV22" s="11" t="n"/>
      <c r="AW22" s="18">
        <f>IF(OR(N(AV22)=0,$B22="",$C22=""),0,MAX(0,$B22+2-AV22+IF($C22&lt;=AV$3,1,0)+IF($C22+18&lt;=AV$3,1,0)+IF($C22+36&lt;=AV$3,1,0)))</f>
        <v/>
      </c>
      <c r="AX22" s="11" t="n"/>
      <c r="AY22" s="18">
        <f>IF(OR(N(AX22)=0,$B22="",$C22=""),0,MAX(0,$B22+2-AX22+IF($C22&lt;=AX$3,1,0)+IF($C22+18&lt;=AX$3,1,0)+IF($C22+36&lt;=AX$3,1,0)))</f>
        <v/>
      </c>
      <c r="AZ22" s="11" t="n"/>
      <c r="BA22" s="18">
        <f>IF(OR(N(AZ22)=0,$B22="",$C22=""),0,MAX(0,$B22+2-AZ22+IF($C22&lt;=AZ$3,1,0)+IF($C22+18&lt;=AZ$3,1,0)+IF($C22+36&lt;=AZ$3,1,0)))</f>
        <v/>
      </c>
      <c r="BB22" s="11" t="n"/>
      <c r="BC22" s="18">
        <f>IF(OR(N(BB22)=0,$B22="",$C22=""),0,MAX(0,$B22+2-BB22+IF($C22&lt;=BB$3,1,0)+IF($C22+18&lt;=BB$3,1,0)+IF($C22+36&lt;=BB$3,1,0)))</f>
        <v/>
      </c>
      <c r="BD22" s="11" t="n"/>
      <c r="BE22" s="18">
        <f>IF(OR(N(BD22)=0,$B22="",$C22=""),0,MAX(0,$B22+2-BD22+IF($C22&lt;=BD$3,1,0)+IF($C22+18&lt;=BD$3,1,0)+IF($C22+36&lt;=BD$3,1,0)))</f>
        <v/>
      </c>
      <c r="BF22" s="11" t="n"/>
      <c r="BG22" s="18">
        <f>IF(OR(N(BF22)=0,$B22="",$C22=""),0,MAX(0,$B22+2-BF22+IF($C22&lt;=BF$3,1,0)+IF($C22+18&lt;=BF$3,1,0)+IF($C22+36&lt;=BF$3,1,0)))</f>
        <v/>
      </c>
      <c r="BH22" s="11" t="n"/>
      <c r="BI22" s="18">
        <f>IF(OR(N(BH22)=0,$B22="",$C22=""),0,MAX(0,$B22+2-BH22+IF($C22&lt;=BH$3,1,0)+IF($C22+18&lt;=BH$3,1,0)+IF($C22+36&lt;=BH$3,1,0)))</f>
        <v/>
      </c>
      <c r="BJ22" s="11" t="n"/>
      <c r="BK22" s="18">
        <f>IF(OR(N(BJ22)=0,$B22="",$C22=""),0,MAX(0,$B22+2-BJ22+IF($C22&lt;=BJ$3,1,0)+IF($C22+18&lt;=BJ$3,1,0)+IF($C22+36&lt;=BJ$3,1,0)))</f>
        <v/>
      </c>
      <c r="BL22" s="11" t="n"/>
      <c r="BM22" s="18">
        <f>IF(OR(N(BL22)=0,$B22="",$C22=""),0,MAX(0,$B22+2-BL22+IF($C22&lt;=BL$3,1,0)+IF($C22+18&lt;=BL$3,1,0)+IF($C22+36&lt;=BL$3,1,0)))</f>
        <v/>
      </c>
      <c r="BN22" s="11" t="n"/>
      <c r="BO22" s="18">
        <f>IF(OR(N(BN22)=0,$B22="",$C22=""),0,MAX(0,$B22+2-BN22+IF($C22&lt;=BN$3,1,0)+IF($C22+18&lt;=BN$3,1,0)+IF($C22+36&lt;=BN$3,1,0)))</f>
        <v/>
      </c>
    </row>
    <row r="23">
      <c r="A23" s="10" t="n">
        <v>18</v>
      </c>
      <c r="B23" s="27">
        <f>IF(Setup!Y$23="","",Setup!Y$23)</f>
        <v/>
      </c>
      <c r="C23" s="27">
        <f>IF(Setup!Z$23="","",Setup!Z$23)</f>
        <v/>
      </c>
      <c r="D23" s="11" t="n"/>
      <c r="E23" s="18">
        <f>IF(OR(N(D23)=0,$B23="",$C23=""),0,MAX(0,$B23+2-D23+IF($C23&lt;=D$3,1,0)+IF($C23+18&lt;=D$3,1,0)+IF($C23+36&lt;=D$3,1,0)))</f>
        <v/>
      </c>
      <c r="F23" s="11" t="n"/>
      <c r="G23" s="18">
        <f>IF(OR(N(F23)=0,$B23="",$C23=""),0,MAX(0,$B23+2-F23+IF($C23&lt;=F$3,1,0)+IF($C23+18&lt;=F$3,1,0)+IF($C23+36&lt;=F$3,1,0)))</f>
        <v/>
      </c>
      <c r="H23" s="11" t="n"/>
      <c r="I23" s="18">
        <f>IF(OR(N(H23)=0,$B23="",$C23=""),0,MAX(0,$B23+2-H23+IF($C23&lt;=H$3,1,0)+IF($C23+18&lt;=H$3,1,0)+IF($C23+36&lt;=H$3,1,0)))</f>
        <v/>
      </c>
      <c r="J23" s="11" t="n"/>
      <c r="K23" s="18">
        <f>IF(OR(N(J23)=0,$B23="",$C23=""),0,MAX(0,$B23+2-J23+IF($C23&lt;=J$3,1,0)+IF($C23+18&lt;=J$3,1,0)+IF($C23+36&lt;=J$3,1,0)))</f>
        <v/>
      </c>
      <c r="L23" s="11" t="n"/>
      <c r="M23" s="18">
        <f>IF(OR(N(L23)=0,$B23="",$C23=""),0,MAX(0,$B23+2-L23+IF($C23&lt;=L$3,1,0)+IF($C23+18&lt;=L$3,1,0)+IF($C23+36&lt;=L$3,1,0)))</f>
        <v/>
      </c>
      <c r="N23" s="11" t="n"/>
      <c r="O23" s="18">
        <f>IF(OR(N(N23)=0,$B23="",$C23=""),0,MAX(0,$B23+2-N23+IF($C23&lt;=N$3,1,0)+IF($C23+18&lt;=N$3,1,0)+IF($C23+36&lt;=N$3,1,0)))</f>
        <v/>
      </c>
      <c r="P23" s="11" t="n"/>
      <c r="Q23" s="18">
        <f>IF(OR(N(P23)=0,$B23="",$C23=""),0,MAX(0,$B23+2-P23+IF($C23&lt;=P$3,1,0)+IF($C23+18&lt;=P$3,1,0)+IF($C23+36&lt;=P$3,1,0)))</f>
        <v/>
      </c>
      <c r="R23" s="11" t="n"/>
      <c r="S23" s="18">
        <f>IF(OR(N(R23)=0,$B23="",$C23=""),0,MAX(0,$B23+2-R23+IF($C23&lt;=R$3,1,0)+IF($C23+18&lt;=R$3,1,0)+IF($C23+36&lt;=R$3,1,0)))</f>
        <v/>
      </c>
      <c r="T23" s="11" t="n"/>
      <c r="U23" s="18">
        <f>IF(OR(N(T23)=0,$B23="",$C23=""),0,MAX(0,$B23+2-T23+IF($C23&lt;=T$3,1,0)+IF($C23+18&lt;=T$3,1,0)+IF($C23+36&lt;=T$3,1,0)))</f>
        <v/>
      </c>
      <c r="V23" s="11" t="n"/>
      <c r="W23" s="18">
        <f>IF(OR(N(V23)=0,$B23="",$C23=""),0,MAX(0,$B23+2-V23+IF($C23&lt;=V$3,1,0)+IF($C23+18&lt;=V$3,1,0)+IF($C23+36&lt;=V$3,1,0)))</f>
        <v/>
      </c>
      <c r="X23" s="11" t="n"/>
      <c r="Y23" s="18">
        <f>IF(OR(N(X23)=0,$B23="",$C23=""),0,MAX(0,$B23+2-X23+IF($C23&lt;=X$3,1,0)+IF($C23+18&lt;=X$3,1,0)+IF($C23+36&lt;=X$3,1,0)))</f>
        <v/>
      </c>
      <c r="Z23" s="11" t="n"/>
      <c r="AA23" s="18">
        <f>IF(OR(N(Z23)=0,$B23="",$C23=""),0,MAX(0,$B23+2-Z23+IF($C23&lt;=Z$3,1,0)+IF($C23+18&lt;=Z$3,1,0)+IF($C23+36&lt;=Z$3,1,0)))</f>
        <v/>
      </c>
      <c r="AB23" s="11" t="n"/>
      <c r="AC23" s="18">
        <f>IF(OR(N(AB23)=0,$B23="",$C23=""),0,MAX(0,$B23+2-AB23+IF($C23&lt;=AB$3,1,0)+IF($C23+18&lt;=AB$3,1,0)+IF($C23+36&lt;=AB$3,1,0)))</f>
        <v/>
      </c>
      <c r="AD23" s="11" t="n"/>
      <c r="AE23" s="18">
        <f>IF(OR(N(AD23)=0,$B23="",$C23=""),0,MAX(0,$B23+2-AD23+IF($C23&lt;=AD$3,1,0)+IF($C23+18&lt;=AD$3,1,0)+IF($C23+36&lt;=AD$3,1,0)))</f>
        <v/>
      </c>
      <c r="AF23" s="11" t="n"/>
      <c r="AG23" s="18">
        <f>IF(OR(N(AF23)=0,$B23="",$C23=""),0,MAX(0,$B23+2-AF23+IF($C23&lt;=AF$3,1,0)+IF($C23+18&lt;=AF$3,1,0)+IF($C23+36&lt;=AF$3,1,0)))</f>
        <v/>
      </c>
      <c r="AH23" s="11" t="n"/>
      <c r="AI23" s="18">
        <f>IF(OR(N(AH23)=0,$B23="",$C23=""),0,MAX(0,$B23+2-AH23+IF($C23&lt;=AH$3,1,0)+IF($C23+18&lt;=AH$3,1,0)+IF($C23+36&lt;=AH$3,1,0)))</f>
        <v/>
      </c>
      <c r="AJ23" s="11" t="n"/>
      <c r="AK23" s="18">
        <f>IF(OR(N(AJ23)=0,$B23="",$C23=""),0,MAX(0,$B23+2-AJ23+IF($C23&lt;=AJ$3,1,0)+IF($C23+18&lt;=AJ$3,1,0)+IF($C23+36&lt;=AJ$3,1,0)))</f>
        <v/>
      </c>
      <c r="AL23" s="11" t="n"/>
      <c r="AM23" s="18">
        <f>IF(OR(N(AL23)=0,$B23="",$C23=""),0,MAX(0,$B23+2-AL23+IF($C23&lt;=AL$3,1,0)+IF($C23+18&lt;=AL$3,1,0)+IF($C23+36&lt;=AL$3,1,0)))</f>
        <v/>
      </c>
      <c r="AN23" s="11" t="n"/>
      <c r="AO23" s="18">
        <f>IF(OR(N(AN23)=0,$B23="",$C23=""),0,MAX(0,$B23+2-AN23+IF($C23&lt;=AN$3,1,0)+IF($C23+18&lt;=AN$3,1,0)+IF($C23+36&lt;=AN$3,1,0)))</f>
        <v/>
      </c>
      <c r="AP23" s="11" t="n"/>
      <c r="AQ23" s="18">
        <f>IF(OR(N(AP23)=0,$B23="",$C23=""),0,MAX(0,$B23+2-AP23+IF($C23&lt;=AP$3,1,0)+IF($C23+18&lt;=AP$3,1,0)+IF($C23+36&lt;=AP$3,1,0)))</f>
        <v/>
      </c>
      <c r="AR23" s="11" t="n"/>
      <c r="AS23" s="18">
        <f>IF(OR(N(AR23)=0,$B23="",$C23=""),0,MAX(0,$B23+2-AR23+IF($C23&lt;=AR$3,1,0)+IF($C23+18&lt;=AR$3,1,0)+IF($C23+36&lt;=AR$3,1,0)))</f>
        <v/>
      </c>
      <c r="AT23" s="11" t="n"/>
      <c r="AU23" s="18">
        <f>IF(OR(N(AT23)=0,$B23="",$C23=""),0,MAX(0,$B23+2-AT23+IF($C23&lt;=AT$3,1,0)+IF($C23+18&lt;=AT$3,1,0)+IF($C23+36&lt;=AT$3,1,0)))</f>
        <v/>
      </c>
      <c r="AV23" s="11" t="n"/>
      <c r="AW23" s="18">
        <f>IF(OR(N(AV23)=0,$B23="",$C23=""),0,MAX(0,$B23+2-AV23+IF($C23&lt;=AV$3,1,0)+IF($C23+18&lt;=AV$3,1,0)+IF($C23+36&lt;=AV$3,1,0)))</f>
        <v/>
      </c>
      <c r="AX23" s="11" t="n"/>
      <c r="AY23" s="18">
        <f>IF(OR(N(AX23)=0,$B23="",$C23=""),0,MAX(0,$B23+2-AX23+IF($C23&lt;=AX$3,1,0)+IF($C23+18&lt;=AX$3,1,0)+IF($C23+36&lt;=AX$3,1,0)))</f>
        <v/>
      </c>
      <c r="AZ23" s="11" t="n"/>
      <c r="BA23" s="18">
        <f>IF(OR(N(AZ23)=0,$B23="",$C23=""),0,MAX(0,$B23+2-AZ23+IF($C23&lt;=AZ$3,1,0)+IF($C23+18&lt;=AZ$3,1,0)+IF($C23+36&lt;=AZ$3,1,0)))</f>
        <v/>
      </c>
      <c r="BB23" s="11" t="n"/>
      <c r="BC23" s="18">
        <f>IF(OR(N(BB23)=0,$B23="",$C23=""),0,MAX(0,$B23+2-BB23+IF($C23&lt;=BB$3,1,0)+IF($C23+18&lt;=BB$3,1,0)+IF($C23+36&lt;=BB$3,1,0)))</f>
        <v/>
      </c>
      <c r="BD23" s="11" t="n"/>
      <c r="BE23" s="18">
        <f>IF(OR(N(BD23)=0,$B23="",$C23=""),0,MAX(0,$B23+2-BD23+IF($C23&lt;=BD$3,1,0)+IF($C23+18&lt;=BD$3,1,0)+IF($C23+36&lt;=BD$3,1,0)))</f>
        <v/>
      </c>
      <c r="BF23" s="11" t="n"/>
      <c r="BG23" s="18">
        <f>IF(OR(N(BF23)=0,$B23="",$C23=""),0,MAX(0,$B23+2-BF23+IF($C23&lt;=BF$3,1,0)+IF($C23+18&lt;=BF$3,1,0)+IF($C23+36&lt;=BF$3,1,0)))</f>
        <v/>
      </c>
      <c r="BH23" s="11" t="n"/>
      <c r="BI23" s="18">
        <f>IF(OR(N(BH23)=0,$B23="",$C23=""),0,MAX(0,$B23+2-BH23+IF($C23&lt;=BH$3,1,0)+IF($C23+18&lt;=BH$3,1,0)+IF($C23+36&lt;=BH$3,1,0)))</f>
        <v/>
      </c>
      <c r="BJ23" s="11" t="n"/>
      <c r="BK23" s="18">
        <f>IF(OR(N(BJ23)=0,$B23="",$C23=""),0,MAX(0,$B23+2-BJ23+IF($C23&lt;=BJ$3,1,0)+IF($C23+18&lt;=BJ$3,1,0)+IF($C23+36&lt;=BJ$3,1,0)))</f>
        <v/>
      </c>
      <c r="BL23" s="11" t="n"/>
      <c r="BM23" s="18">
        <f>IF(OR(N(BL23)=0,$B23="",$C23=""),0,MAX(0,$B23+2-BL23+IF($C23&lt;=BL$3,1,0)+IF($C23+18&lt;=BL$3,1,0)+IF($C23+36&lt;=BL$3,1,0)))</f>
        <v/>
      </c>
      <c r="BN23" s="11" t="n"/>
      <c r="BO23" s="18">
        <f>IF(OR(N(BN23)=0,$B23="",$C23=""),0,MAX(0,$B23+2-BN23+IF($C23&lt;=BN$3,1,0)+IF($C23+18&lt;=BN$3,1,0)+IF($C23+36&lt;=BN$3,1,0)))</f>
        <v/>
      </c>
    </row>
    <row r="24">
      <c r="A24" s="14" t="inlineStr">
        <is>
          <t>In</t>
        </is>
      </c>
      <c r="B24" s="14">
        <f>IF(COUNT(B15:B23)=0,"",SUM(B15:B23))</f>
        <v/>
      </c>
      <c r="C24" s="15" t="n"/>
      <c r="D24" s="14">
        <f>IF(COUNT(D15:D23)=0,"",SUM(D15:D23))</f>
        <v/>
      </c>
      <c r="E24" s="14">
        <f>SUM(E15:E23)</f>
        <v/>
      </c>
      <c r="F24" s="14">
        <f>IF(COUNT(F15:F23)=0,"",SUM(F15:F23))</f>
        <v/>
      </c>
      <c r="G24" s="14">
        <f>SUM(G15:G23)</f>
        <v/>
      </c>
      <c r="H24" s="14">
        <f>IF(COUNT(H15:H23)=0,"",SUM(H15:H23))</f>
        <v/>
      </c>
      <c r="I24" s="14">
        <f>SUM(I15:I23)</f>
        <v/>
      </c>
      <c r="J24" s="14">
        <f>IF(COUNT(J15:J23)=0,"",SUM(J15:J23))</f>
        <v/>
      </c>
      <c r="K24" s="14">
        <f>SUM(K15:K23)</f>
        <v/>
      </c>
      <c r="L24" s="14">
        <f>IF(COUNT(L15:L23)=0,"",SUM(L15:L23))</f>
        <v/>
      </c>
      <c r="M24" s="14">
        <f>SUM(M15:M23)</f>
        <v/>
      </c>
      <c r="N24" s="14">
        <f>IF(COUNT(N15:N23)=0,"",SUM(N15:N23))</f>
        <v/>
      </c>
      <c r="O24" s="14">
        <f>SUM(O15:O23)</f>
        <v/>
      </c>
      <c r="P24" s="14">
        <f>IF(COUNT(P15:P23)=0,"",SUM(P15:P23))</f>
        <v/>
      </c>
      <c r="Q24" s="14">
        <f>SUM(Q15:Q23)</f>
        <v/>
      </c>
      <c r="R24" s="14">
        <f>IF(COUNT(R15:R23)=0,"",SUM(R15:R23))</f>
        <v/>
      </c>
      <c r="S24" s="14">
        <f>SUM(S15:S23)</f>
        <v/>
      </c>
      <c r="T24" s="14">
        <f>IF(COUNT(T15:T23)=0,"",SUM(T15:T23))</f>
        <v/>
      </c>
      <c r="U24" s="14">
        <f>SUM(U15:U23)</f>
        <v/>
      </c>
      <c r="V24" s="14">
        <f>IF(COUNT(V15:V23)=0,"",SUM(V15:V23))</f>
        <v/>
      </c>
      <c r="W24" s="14">
        <f>SUM(W15:W23)</f>
        <v/>
      </c>
      <c r="X24" s="14">
        <f>IF(COUNT(X15:X23)=0,"",SUM(X15:X23))</f>
        <v/>
      </c>
      <c r="Y24" s="14">
        <f>SUM(Y15:Y23)</f>
        <v/>
      </c>
      <c r="Z24" s="14">
        <f>IF(COUNT(Z15:Z23)=0,"",SUM(Z15:Z23))</f>
        <v/>
      </c>
      <c r="AA24" s="14">
        <f>SUM(AA15:AA23)</f>
        <v/>
      </c>
      <c r="AB24" s="14">
        <f>IF(COUNT(AB15:AB23)=0,"",SUM(AB15:AB23))</f>
        <v/>
      </c>
      <c r="AC24" s="14">
        <f>SUM(AC15:AC23)</f>
        <v/>
      </c>
      <c r="AD24" s="14">
        <f>IF(COUNT(AD15:AD23)=0,"",SUM(AD15:AD23))</f>
        <v/>
      </c>
      <c r="AE24" s="14">
        <f>SUM(AE15:AE23)</f>
        <v/>
      </c>
      <c r="AF24" s="14">
        <f>IF(COUNT(AF15:AF23)=0,"",SUM(AF15:AF23))</f>
        <v/>
      </c>
      <c r="AG24" s="14">
        <f>SUM(AG15:AG23)</f>
        <v/>
      </c>
      <c r="AH24" s="14">
        <f>IF(COUNT(AH15:AH23)=0,"",SUM(AH15:AH23))</f>
        <v/>
      </c>
      <c r="AI24" s="14">
        <f>SUM(AI15:AI23)</f>
        <v/>
      </c>
      <c r="AJ24" s="14">
        <f>IF(COUNT(AJ15:AJ23)=0,"",SUM(AJ15:AJ23))</f>
        <v/>
      </c>
      <c r="AK24" s="14">
        <f>SUM(AK15:AK23)</f>
        <v/>
      </c>
      <c r="AL24" s="14">
        <f>IF(COUNT(AL15:AL23)=0,"",SUM(AL15:AL23))</f>
        <v/>
      </c>
      <c r="AM24" s="14">
        <f>SUM(AM15:AM23)</f>
        <v/>
      </c>
      <c r="AN24" s="14">
        <f>IF(COUNT(AN15:AN23)=0,"",SUM(AN15:AN23))</f>
        <v/>
      </c>
      <c r="AO24" s="14">
        <f>SUM(AO15:AO23)</f>
        <v/>
      </c>
      <c r="AP24" s="14">
        <f>IF(COUNT(AP15:AP23)=0,"",SUM(AP15:AP23))</f>
        <v/>
      </c>
      <c r="AQ24" s="14">
        <f>SUM(AQ15:AQ23)</f>
        <v/>
      </c>
      <c r="AR24" s="14">
        <f>IF(COUNT(AR15:AR23)=0,"",SUM(AR15:AR23))</f>
        <v/>
      </c>
      <c r="AS24" s="14">
        <f>SUM(AS15:AS23)</f>
        <v/>
      </c>
      <c r="AT24" s="14">
        <f>IF(COUNT(AT15:AT23)=0,"",SUM(AT15:AT23))</f>
        <v/>
      </c>
      <c r="AU24" s="14">
        <f>SUM(AU15:AU23)</f>
        <v/>
      </c>
      <c r="AV24" s="14">
        <f>IF(COUNT(AV15:AV23)=0,"",SUM(AV15:AV23))</f>
        <v/>
      </c>
      <c r="AW24" s="14">
        <f>SUM(AW15:AW23)</f>
        <v/>
      </c>
      <c r="AX24" s="14">
        <f>IF(COUNT(AX15:AX23)=0,"",SUM(AX15:AX23))</f>
        <v/>
      </c>
      <c r="AY24" s="14">
        <f>SUM(AY15:AY23)</f>
        <v/>
      </c>
      <c r="AZ24" s="14">
        <f>IF(COUNT(AZ15:AZ23)=0,"",SUM(AZ15:AZ23))</f>
        <v/>
      </c>
      <c r="BA24" s="14">
        <f>SUM(BA15:BA23)</f>
        <v/>
      </c>
      <c r="BB24" s="14">
        <f>IF(COUNT(BB15:BB23)=0,"",SUM(BB15:BB23))</f>
        <v/>
      </c>
      <c r="BC24" s="14">
        <f>SUM(BC15:BC23)</f>
        <v/>
      </c>
      <c r="BD24" s="14">
        <f>IF(COUNT(BD15:BD23)=0,"",SUM(BD15:BD23))</f>
        <v/>
      </c>
      <c r="BE24" s="14">
        <f>SUM(BE15:BE23)</f>
        <v/>
      </c>
      <c r="BF24" s="14">
        <f>IF(COUNT(BF15:BF23)=0,"",SUM(BF15:BF23))</f>
        <v/>
      </c>
      <c r="BG24" s="14">
        <f>SUM(BG15:BG23)</f>
        <v/>
      </c>
      <c r="BH24" s="14">
        <f>IF(COUNT(BH15:BH23)=0,"",SUM(BH15:BH23))</f>
        <v/>
      </c>
      <c r="BI24" s="14">
        <f>SUM(BI15:BI23)</f>
        <v/>
      </c>
      <c r="BJ24" s="14">
        <f>IF(COUNT(BJ15:BJ23)=0,"",SUM(BJ15:BJ23))</f>
        <v/>
      </c>
      <c r="BK24" s="14">
        <f>SUM(BK15:BK23)</f>
        <v/>
      </c>
      <c r="BL24" s="14">
        <f>IF(COUNT(BL15:BL23)=0,"",SUM(BL15:BL23))</f>
        <v/>
      </c>
      <c r="BM24" s="14">
        <f>SUM(BM15:BM23)</f>
        <v/>
      </c>
      <c r="BN24" s="14">
        <f>IF(COUNT(BN15:BN23)=0,"",SUM(BN15:BN23))</f>
        <v/>
      </c>
      <c r="BO24" s="14">
        <f>SUM(BO15:BO23)</f>
        <v/>
      </c>
    </row>
    <row r="25">
      <c r="A25" s="14" t="inlineStr">
        <is>
          <t>Total</t>
        </is>
      </c>
      <c r="B25" s="14">
        <f>IF(COUNT(B5:B13,B15:B23)=0,"",SUM(B5:B13,B15:B23))</f>
        <v/>
      </c>
      <c r="C25" s="15" t="n"/>
      <c r="D25" s="14">
        <f>IF(COUNT(D5:D13,D15:D23)=0,"",SUM(D5:D13,D15:D23))</f>
        <v/>
      </c>
      <c r="E25" s="14">
        <f>SUM(E14,E24)</f>
        <v/>
      </c>
      <c r="F25" s="14">
        <f>IF(COUNT(F5:F13,F15:F23)=0,"",SUM(F5:F13,F15:F23))</f>
        <v/>
      </c>
      <c r="G25" s="14">
        <f>SUM(G14,G24)</f>
        <v/>
      </c>
      <c r="H25" s="14">
        <f>IF(COUNT(H5:H13,H15:H23)=0,"",SUM(H5:H13,H15:H23))</f>
        <v/>
      </c>
      <c r="I25" s="14">
        <f>SUM(I14,I24)</f>
        <v/>
      </c>
      <c r="J25" s="14">
        <f>IF(COUNT(J5:J13,J15:J23)=0,"",SUM(J5:J13,J15:J23))</f>
        <v/>
      </c>
      <c r="K25" s="14">
        <f>SUM(K14,K24)</f>
        <v/>
      </c>
      <c r="L25" s="14">
        <f>IF(COUNT(L5:L13,L15:L23)=0,"",SUM(L5:L13,L15:L23))</f>
        <v/>
      </c>
      <c r="M25" s="14">
        <f>SUM(M14,M24)</f>
        <v/>
      </c>
      <c r="N25" s="14">
        <f>IF(COUNT(N5:N13,N15:N23)=0,"",SUM(N5:N13,N15:N23))</f>
        <v/>
      </c>
      <c r="O25" s="14">
        <f>SUM(O14,O24)</f>
        <v/>
      </c>
      <c r="P25" s="14">
        <f>IF(COUNT(P5:P13,P15:P23)=0,"",SUM(P5:P13,P15:P23))</f>
        <v/>
      </c>
      <c r="Q25" s="14">
        <f>SUM(Q14,Q24)</f>
        <v/>
      </c>
      <c r="R25" s="14">
        <f>IF(COUNT(R5:R13,R15:R23)=0,"",SUM(R5:R13,R15:R23))</f>
        <v/>
      </c>
      <c r="S25" s="14">
        <f>SUM(S14,S24)</f>
        <v/>
      </c>
      <c r="T25" s="14">
        <f>IF(COUNT(T5:T13,T15:T23)=0,"",SUM(T5:T13,T15:T23))</f>
        <v/>
      </c>
      <c r="U25" s="14">
        <f>SUM(U14,U24)</f>
        <v/>
      </c>
      <c r="V25" s="14">
        <f>IF(COUNT(V5:V13,V15:V23)=0,"",SUM(V5:V13,V15:V23))</f>
        <v/>
      </c>
      <c r="W25" s="14">
        <f>SUM(W14,W24)</f>
        <v/>
      </c>
      <c r="X25" s="14">
        <f>IF(COUNT(X5:X13,X15:X23)=0,"",SUM(X5:X13,X15:X23))</f>
        <v/>
      </c>
      <c r="Y25" s="14">
        <f>SUM(Y14,Y24)</f>
        <v/>
      </c>
      <c r="Z25" s="14">
        <f>IF(COUNT(Z5:Z13,Z15:Z23)=0,"",SUM(Z5:Z13,Z15:Z23))</f>
        <v/>
      </c>
      <c r="AA25" s="14">
        <f>SUM(AA14,AA24)</f>
        <v/>
      </c>
      <c r="AB25" s="14">
        <f>IF(COUNT(AB5:AB13,AB15:AB23)=0,"",SUM(AB5:AB13,AB15:AB23))</f>
        <v/>
      </c>
      <c r="AC25" s="14">
        <f>SUM(AC14,AC24)</f>
        <v/>
      </c>
      <c r="AD25" s="14">
        <f>IF(COUNT(AD5:AD13,AD15:AD23)=0,"",SUM(AD5:AD13,AD15:AD23))</f>
        <v/>
      </c>
      <c r="AE25" s="14">
        <f>SUM(AE14,AE24)</f>
        <v/>
      </c>
      <c r="AF25" s="14">
        <f>IF(COUNT(AF5:AF13,AF15:AF23)=0,"",SUM(AF5:AF13,AF15:AF23))</f>
        <v/>
      </c>
      <c r="AG25" s="14">
        <f>SUM(AG14,AG24)</f>
        <v/>
      </c>
      <c r="AH25" s="14">
        <f>IF(COUNT(AH5:AH13,AH15:AH23)=0,"",SUM(AH5:AH13,AH15:AH23))</f>
        <v/>
      </c>
      <c r="AI25" s="14">
        <f>SUM(AI14,AI24)</f>
        <v/>
      </c>
      <c r="AJ25" s="14">
        <f>IF(COUNT(AJ5:AJ13,AJ15:AJ23)=0,"",SUM(AJ5:AJ13,AJ15:AJ23))</f>
        <v/>
      </c>
      <c r="AK25" s="14">
        <f>SUM(AK14,AK24)</f>
        <v/>
      </c>
      <c r="AL25" s="14">
        <f>IF(COUNT(AL5:AL13,AL15:AL23)=0,"",SUM(AL5:AL13,AL15:AL23))</f>
        <v/>
      </c>
      <c r="AM25" s="14">
        <f>SUM(AM14,AM24)</f>
        <v/>
      </c>
      <c r="AN25" s="14">
        <f>IF(COUNT(AN5:AN13,AN15:AN23)=0,"",SUM(AN5:AN13,AN15:AN23))</f>
        <v/>
      </c>
      <c r="AO25" s="14">
        <f>SUM(AO14,AO24)</f>
        <v/>
      </c>
      <c r="AP25" s="14">
        <f>IF(COUNT(AP5:AP13,AP15:AP23)=0,"",SUM(AP5:AP13,AP15:AP23))</f>
        <v/>
      </c>
      <c r="AQ25" s="14">
        <f>SUM(AQ14,AQ24)</f>
        <v/>
      </c>
      <c r="AR25" s="14">
        <f>IF(COUNT(AR5:AR13,AR15:AR23)=0,"",SUM(AR5:AR13,AR15:AR23))</f>
        <v/>
      </c>
      <c r="AS25" s="14">
        <f>SUM(AS14,AS24)</f>
        <v/>
      </c>
      <c r="AT25" s="14">
        <f>IF(COUNT(AT5:AT13,AT15:AT23)=0,"",SUM(AT5:AT13,AT15:AT23))</f>
        <v/>
      </c>
      <c r="AU25" s="14">
        <f>SUM(AU14,AU24)</f>
        <v/>
      </c>
      <c r="AV25" s="14">
        <f>IF(COUNT(AV5:AV13,AV15:AV23)=0,"",SUM(AV5:AV13,AV15:AV23))</f>
        <v/>
      </c>
      <c r="AW25" s="14">
        <f>SUM(AW14,AW24)</f>
        <v/>
      </c>
      <c r="AX25" s="14">
        <f>IF(COUNT(AX5:AX13,AX15:AX23)=0,"",SUM(AX5:AX13,AX15:AX23))</f>
        <v/>
      </c>
      <c r="AY25" s="14">
        <f>SUM(AY14,AY24)</f>
        <v/>
      </c>
      <c r="AZ25" s="14">
        <f>IF(COUNT(AZ5:AZ13,AZ15:AZ23)=0,"",SUM(AZ5:AZ13,AZ15:AZ23))</f>
        <v/>
      </c>
      <c r="BA25" s="14">
        <f>SUM(BA14,BA24)</f>
        <v/>
      </c>
      <c r="BB25" s="14">
        <f>IF(COUNT(BB5:BB13,BB15:BB23)=0,"",SUM(BB5:BB13,BB15:BB23))</f>
        <v/>
      </c>
      <c r="BC25" s="14">
        <f>SUM(BC14,BC24)</f>
        <v/>
      </c>
      <c r="BD25" s="14">
        <f>IF(COUNT(BD5:BD13,BD15:BD23)=0,"",SUM(BD5:BD13,BD15:BD23))</f>
        <v/>
      </c>
      <c r="BE25" s="14">
        <f>SUM(BE14,BE24)</f>
        <v/>
      </c>
      <c r="BF25" s="14">
        <f>IF(COUNT(BF5:BF13,BF15:BF23)=0,"",SUM(BF5:BF13,BF15:BF23))</f>
        <v/>
      </c>
      <c r="BG25" s="14">
        <f>SUM(BG14,BG24)</f>
        <v/>
      </c>
      <c r="BH25" s="14">
        <f>IF(COUNT(BH5:BH13,BH15:BH23)=0,"",SUM(BH5:BH13,BH15:BH23))</f>
        <v/>
      </c>
      <c r="BI25" s="14">
        <f>SUM(BI14,BI24)</f>
        <v/>
      </c>
      <c r="BJ25" s="14">
        <f>IF(COUNT(BJ5:BJ13,BJ15:BJ23)=0,"",SUM(BJ5:BJ13,BJ15:BJ23))</f>
        <v/>
      </c>
      <c r="BK25" s="14">
        <f>SUM(BK14,BK24)</f>
        <v/>
      </c>
      <c r="BL25" s="14">
        <f>IF(COUNT(BL5:BL13,BL15:BL23)=0,"",SUM(BL5:BL13,BL15:BL23))</f>
        <v/>
      </c>
      <c r="BM25" s="14">
        <f>SUM(BM14,BM24)</f>
        <v/>
      </c>
      <c r="BN25" s="14">
        <f>IF(COUNT(BN5:BN13,BN15:BN23)=0,"",SUM(BN5:BN13,BN15:BN23))</f>
        <v/>
      </c>
      <c r="BO25" s="14">
        <f>SUM(BO14,BO24)</f>
        <v/>
      </c>
    </row>
    <row r="26">
      <c r="A26" s="28" t="inlineStr">
        <is>
          <t>Card penalty (0/1/2)</t>
        </is>
      </c>
      <c r="B26" s="27" t="n"/>
      <c r="C26" s="27" t="n"/>
      <c r="D26" s="11" t="n"/>
      <c r="E26" s="27" t="n"/>
      <c r="F26" s="11" t="n"/>
      <c r="G26" s="27" t="n"/>
      <c r="H26" s="11" t="n"/>
      <c r="I26" s="27" t="n"/>
      <c r="J26" s="11" t="n"/>
      <c r="K26" s="27" t="n"/>
      <c r="L26" s="11" t="n"/>
      <c r="M26" s="27" t="n"/>
      <c r="N26" s="11" t="n"/>
      <c r="O26" s="27" t="n"/>
      <c r="P26" s="11" t="n"/>
      <c r="Q26" s="27" t="n"/>
      <c r="R26" s="11" t="n"/>
      <c r="S26" s="27" t="n"/>
      <c r="T26" s="11" t="n"/>
      <c r="U26" s="27" t="n"/>
      <c r="V26" s="11" t="n"/>
      <c r="W26" s="27" t="n"/>
      <c r="X26" s="11" t="n"/>
      <c r="Y26" s="27" t="n"/>
      <c r="Z26" s="11" t="n"/>
      <c r="AA26" s="27" t="n"/>
      <c r="AB26" s="11" t="n"/>
      <c r="AC26" s="27" t="n"/>
      <c r="AD26" s="11" t="n"/>
      <c r="AE26" s="27" t="n"/>
      <c r="AF26" s="11" t="n"/>
      <c r="AG26" s="27" t="n"/>
      <c r="AH26" s="11" t="n"/>
      <c r="AI26" s="27" t="n"/>
      <c r="AJ26" s="11" t="n"/>
      <c r="AK26" s="27" t="n"/>
      <c r="AL26" s="11" t="n"/>
      <c r="AM26" s="27" t="n"/>
      <c r="AN26" s="11" t="n"/>
      <c r="AO26" s="27" t="n"/>
      <c r="AP26" s="11" t="n"/>
      <c r="AQ26" s="27" t="n"/>
      <c r="AR26" s="11" t="n"/>
      <c r="AS26" s="27" t="n"/>
      <c r="AT26" s="11" t="n"/>
      <c r="AU26" s="27" t="n"/>
      <c r="AV26" s="11" t="n"/>
      <c r="AW26" s="27" t="n"/>
      <c r="AX26" s="11" t="n"/>
      <c r="AY26" s="27" t="n"/>
      <c r="AZ26" s="11" t="n"/>
      <c r="BA26" s="27" t="n"/>
      <c r="BB26" s="11" t="n"/>
      <c r="BC26" s="27" t="n"/>
      <c r="BD26" s="11" t="n"/>
      <c r="BE26" s="27" t="n"/>
      <c r="BF26" s="11" t="n"/>
      <c r="BG26" s="27" t="n"/>
      <c r="BH26" s="11" t="n"/>
      <c r="BI26" s="27" t="n"/>
      <c r="BJ26" s="11" t="n"/>
      <c r="BK26" s="27" t="n"/>
      <c r="BL26" s="11" t="n"/>
      <c r="BM26" s="27" t="n"/>
      <c r="BN26" s="11" t="n"/>
      <c r="BO26" s="27" t="n"/>
    </row>
    <row r="27">
      <c r="A27" s="29" t="inlineStr">
        <is>
          <t>Round points</t>
        </is>
      </c>
      <c r="B27" s="15" t="n"/>
      <c r="C27" s="15" t="n"/>
      <c r="D27" s="30">
        <f>IF(OR(D$2="",$S$31=0),"",F32)</f>
        <v/>
      </c>
      <c r="E27" s="9" t="n"/>
      <c r="F27" s="30">
        <f>IF(OR(F$2="",$S$31=0),"",F33)</f>
        <v/>
      </c>
      <c r="G27" s="9" t="n"/>
      <c r="H27" s="30">
        <f>IF(OR(H$2="",$S$31=0),"",F34)</f>
        <v/>
      </c>
      <c r="I27" s="9" t="n"/>
      <c r="J27" s="30">
        <f>IF(OR(J$2="",$S$31=0),"",F35)</f>
        <v/>
      </c>
      <c r="K27" s="9" t="n"/>
      <c r="L27" s="30">
        <f>IF(OR(L$2="",$S$31=0),"",F36)</f>
        <v/>
      </c>
      <c r="M27" s="9" t="n"/>
      <c r="N27" s="30">
        <f>IF(OR(N$2="",$S$31=0),"",F37)</f>
        <v/>
      </c>
      <c r="O27" s="9" t="n"/>
      <c r="P27" s="30">
        <f>IF(OR(P$2="",$S$31=0),"",F38)</f>
        <v/>
      </c>
      <c r="Q27" s="9" t="n"/>
      <c r="R27" s="30">
        <f>IF(OR(R$2="",$S$31=0),"",F39)</f>
        <v/>
      </c>
      <c r="S27" s="9" t="n"/>
      <c r="T27" s="30">
        <f>IF(OR(T$2="",$S$31=0),"",F40)</f>
        <v/>
      </c>
      <c r="U27" s="9" t="n"/>
      <c r="V27" s="30">
        <f>IF(OR(V$2="",$S$31=0),"",F41)</f>
        <v/>
      </c>
      <c r="W27" s="9" t="n"/>
      <c r="X27" s="30">
        <f>IF(OR(X$2="",$S$31=0),"",F42)</f>
        <v/>
      </c>
      <c r="Y27" s="9" t="n"/>
      <c r="Z27" s="30">
        <f>IF(OR(Z$2="",$S$31=0),"",F43)</f>
        <v/>
      </c>
      <c r="AA27" s="9" t="n"/>
      <c r="AB27" s="30">
        <f>IF(OR(AB$2="",$S$31=0),"",F44)</f>
        <v/>
      </c>
      <c r="AC27" s="9" t="n"/>
      <c r="AD27" s="30">
        <f>IF(OR(AD$2="",$S$31=0),"",F45)</f>
        <v/>
      </c>
      <c r="AE27" s="9" t="n"/>
      <c r="AF27" s="30">
        <f>IF(OR(AF$2="",$S$31=0),"",F46)</f>
        <v/>
      </c>
      <c r="AG27" s="9" t="n"/>
      <c r="AH27" s="30">
        <f>IF(OR(AH$2="",$S$31=0),"",F47)</f>
        <v/>
      </c>
      <c r="AI27" s="9" t="n"/>
      <c r="AJ27" s="30">
        <f>IF(OR(AJ$2="",$S$31=0),"",F48)</f>
        <v/>
      </c>
      <c r="AK27" s="9" t="n"/>
      <c r="AL27" s="30">
        <f>IF(OR(AL$2="",$S$31=0),"",F49)</f>
        <v/>
      </c>
      <c r="AM27" s="9" t="n"/>
      <c r="AN27" s="30">
        <f>IF(OR(AN$2="",$S$31=0),"",F50)</f>
        <v/>
      </c>
      <c r="AO27" s="9" t="n"/>
      <c r="AP27" s="30">
        <f>IF(OR(AP$2="",$S$31=0),"",F51)</f>
        <v/>
      </c>
      <c r="AQ27" s="9" t="n"/>
      <c r="AR27" s="30">
        <f>IF(OR(AR$2="",$S$31=0),"",F52)</f>
        <v/>
      </c>
      <c r="AS27" s="9" t="n"/>
      <c r="AT27" s="30">
        <f>IF(OR(AT$2="",$S$31=0),"",F53)</f>
        <v/>
      </c>
      <c r="AU27" s="9" t="n"/>
      <c r="AV27" s="30">
        <f>IF(OR(AV$2="",$S$31=0),"",F54)</f>
        <v/>
      </c>
      <c r="AW27" s="9" t="n"/>
      <c r="AX27" s="30">
        <f>IF(OR(AX$2="",$S$31=0),"",F55)</f>
        <v/>
      </c>
      <c r="AY27" s="9" t="n"/>
      <c r="AZ27" s="30">
        <f>IF(OR(AZ$2="",$S$31=0),"",F56)</f>
        <v/>
      </c>
      <c r="BA27" s="9" t="n"/>
      <c r="BB27" s="30">
        <f>IF(OR(BB$2="",$S$31=0),"",F57)</f>
        <v/>
      </c>
      <c r="BC27" s="9" t="n"/>
      <c r="BD27" s="30">
        <f>IF(OR(BD$2="",$S$31=0),"",F58)</f>
        <v/>
      </c>
      <c r="BE27" s="9" t="n"/>
      <c r="BF27" s="30">
        <f>IF(OR(BF$2="",$S$31=0),"",F59)</f>
        <v/>
      </c>
      <c r="BG27" s="9" t="n"/>
      <c r="BH27" s="30">
        <f>IF(OR(BH$2="",$S$31=0),"",F60)</f>
        <v/>
      </c>
      <c r="BI27" s="9" t="n"/>
      <c r="BJ27" s="30">
        <f>IF(OR(BJ$2="",$S$31=0),"",F61)</f>
        <v/>
      </c>
      <c r="BK27" s="9" t="n"/>
      <c r="BL27" s="30">
        <f>IF(OR(BL$2="",$S$31=0),"",F62)</f>
        <v/>
      </c>
      <c r="BM27" s="9" t="n"/>
      <c r="BN27" s="30">
        <f>IF(OR(BN$2="",$S$31=0),"",F63)</f>
        <v/>
      </c>
      <c r="BO27" s="9" t="n"/>
    </row>
    <row r="28">
      <c r="A28" s="29" t="inlineStr">
        <is>
          <t>Daily position</t>
        </is>
      </c>
      <c r="B28" s="15" t="n"/>
      <c r="C28" s="15" t="n"/>
      <c r="D28" s="30">
        <f>IF(OR(D$2="",$S$31=0),"",Q32)</f>
        <v/>
      </c>
      <c r="E28" s="9" t="n"/>
      <c r="F28" s="30">
        <f>IF(OR(F$2="",$S$31=0),"",Q33)</f>
        <v/>
      </c>
      <c r="G28" s="9" t="n"/>
      <c r="H28" s="30">
        <f>IF(OR(H$2="",$S$31=0),"",Q34)</f>
        <v/>
      </c>
      <c r="I28" s="9" t="n"/>
      <c r="J28" s="30">
        <f>IF(OR(J$2="",$S$31=0),"",Q35)</f>
        <v/>
      </c>
      <c r="K28" s="9" t="n"/>
      <c r="L28" s="30">
        <f>IF(OR(L$2="",$S$31=0),"",Q36)</f>
        <v/>
      </c>
      <c r="M28" s="9" t="n"/>
      <c r="N28" s="30">
        <f>IF(OR(N$2="",$S$31=0),"",Q37)</f>
        <v/>
      </c>
      <c r="O28" s="9" t="n"/>
      <c r="P28" s="30">
        <f>IF(OR(P$2="",$S$31=0),"",Q38)</f>
        <v/>
      </c>
      <c r="Q28" s="9" t="n"/>
      <c r="R28" s="30">
        <f>IF(OR(R$2="",$S$31=0),"",Q39)</f>
        <v/>
      </c>
      <c r="S28" s="9" t="n"/>
      <c r="T28" s="30">
        <f>IF(OR(T$2="",$S$31=0),"",Q40)</f>
        <v/>
      </c>
      <c r="U28" s="9" t="n"/>
      <c r="V28" s="30">
        <f>IF(OR(V$2="",$S$31=0),"",Q41)</f>
        <v/>
      </c>
      <c r="W28" s="9" t="n"/>
      <c r="X28" s="30">
        <f>IF(OR(X$2="",$S$31=0),"",Q42)</f>
        <v/>
      </c>
      <c r="Y28" s="9" t="n"/>
      <c r="Z28" s="30">
        <f>IF(OR(Z$2="",$S$31=0),"",Q43)</f>
        <v/>
      </c>
      <c r="AA28" s="9" t="n"/>
      <c r="AB28" s="30">
        <f>IF(OR(AB$2="",$S$31=0),"",Q44)</f>
        <v/>
      </c>
      <c r="AC28" s="9" t="n"/>
      <c r="AD28" s="30">
        <f>IF(OR(AD$2="",$S$31=0),"",Q45)</f>
        <v/>
      </c>
      <c r="AE28" s="9" t="n"/>
      <c r="AF28" s="30">
        <f>IF(OR(AF$2="",$S$31=0),"",Q46)</f>
        <v/>
      </c>
      <c r="AG28" s="9" t="n"/>
      <c r="AH28" s="30">
        <f>IF(OR(AH$2="",$S$31=0),"",Q47)</f>
        <v/>
      </c>
      <c r="AI28" s="9" t="n"/>
      <c r="AJ28" s="30">
        <f>IF(OR(AJ$2="",$S$31=0),"",Q48)</f>
        <v/>
      </c>
      <c r="AK28" s="9" t="n"/>
      <c r="AL28" s="30">
        <f>IF(OR(AL$2="",$S$31=0),"",Q49)</f>
        <v/>
      </c>
      <c r="AM28" s="9" t="n"/>
      <c r="AN28" s="30">
        <f>IF(OR(AN$2="",$S$31=0),"",Q50)</f>
        <v/>
      </c>
      <c r="AO28" s="9" t="n"/>
      <c r="AP28" s="30">
        <f>IF(OR(AP$2="",$S$31=0),"",Q51)</f>
        <v/>
      </c>
      <c r="AQ28" s="9" t="n"/>
      <c r="AR28" s="30">
        <f>IF(OR(AR$2="",$S$31=0),"",Q52)</f>
        <v/>
      </c>
      <c r="AS28" s="9" t="n"/>
      <c r="AT28" s="30">
        <f>IF(OR(AT$2="",$S$31=0),"",Q53)</f>
        <v/>
      </c>
      <c r="AU28" s="9" t="n"/>
      <c r="AV28" s="30">
        <f>IF(OR(AV$2="",$S$31=0),"",Q54)</f>
        <v/>
      </c>
      <c r="AW28" s="9" t="n"/>
      <c r="AX28" s="30">
        <f>IF(OR(AX$2="",$S$31=0),"",Q55)</f>
        <v/>
      </c>
      <c r="AY28" s="9" t="n"/>
      <c r="AZ28" s="30">
        <f>IF(OR(AZ$2="",$S$31=0),"",Q56)</f>
        <v/>
      </c>
      <c r="BA28" s="9" t="n"/>
      <c r="BB28" s="30">
        <f>IF(OR(BB$2="",$S$31=0),"",Q57)</f>
        <v/>
      </c>
      <c r="BC28" s="9" t="n"/>
      <c r="BD28" s="30">
        <f>IF(OR(BD$2="",$S$31=0),"",Q58)</f>
        <v/>
      </c>
      <c r="BE28" s="9" t="n"/>
      <c r="BF28" s="30">
        <f>IF(OR(BF$2="",$S$31=0),"",Q59)</f>
        <v/>
      </c>
      <c r="BG28" s="9" t="n"/>
      <c r="BH28" s="30">
        <f>IF(OR(BH$2="",$S$31=0),"",Q60)</f>
        <v/>
      </c>
      <c r="BI28" s="9" t="n"/>
      <c r="BJ28" s="30">
        <f>IF(OR(BJ$2="",$S$31=0),"",Q61)</f>
        <v/>
      </c>
      <c r="BK28" s="9" t="n"/>
      <c r="BL28" s="30">
        <f>IF(OR(BL$2="",$S$31=0),"",Q62)</f>
        <v/>
      </c>
      <c r="BM28" s="9" t="n"/>
      <c r="BN28" s="30">
        <f>IF(OR(BN$2="",$S$31=0),"",Q63)</f>
        <v/>
      </c>
      <c r="BO28" s="9" t="n"/>
    </row>
    <row r="29">
      <c r="A29" s="17" t="inlineStr">
        <is>
          <t>Tie decided on countback</t>
        </is>
      </c>
      <c r="B29" s="27" t="n"/>
      <c r="C29" s="27" t="n"/>
      <c r="D29" s="27">
        <f>IF(OR(D$2="",$S$31=0),"",IF(SUMPRODUCT(($B$32:$B$63&lt;&gt;"")*($F$32:$F$63=F32))&gt;1,"cb",""))</f>
        <v/>
      </c>
      <c r="E29" s="9" t="n"/>
      <c r="F29" s="27">
        <f>IF(OR(F$2="",$S$31=0),"",IF(SUMPRODUCT(($B$32:$B$63&lt;&gt;"")*($F$32:$F$63=F33))&gt;1,"cb",""))</f>
        <v/>
      </c>
      <c r="G29" s="9" t="n"/>
      <c r="H29" s="27">
        <f>IF(OR(H$2="",$S$31=0),"",IF(SUMPRODUCT(($B$32:$B$63&lt;&gt;"")*($F$32:$F$63=F34))&gt;1,"cb",""))</f>
        <v/>
      </c>
      <c r="I29" s="9" t="n"/>
      <c r="J29" s="27">
        <f>IF(OR(J$2="",$S$31=0),"",IF(SUMPRODUCT(($B$32:$B$63&lt;&gt;"")*($F$32:$F$63=F35))&gt;1,"cb",""))</f>
        <v/>
      </c>
      <c r="K29" s="9" t="n"/>
      <c r="L29" s="27">
        <f>IF(OR(L$2="",$S$31=0),"",IF(SUMPRODUCT(($B$32:$B$63&lt;&gt;"")*($F$32:$F$63=F36))&gt;1,"cb",""))</f>
        <v/>
      </c>
      <c r="M29" s="9" t="n"/>
      <c r="N29" s="27">
        <f>IF(OR(N$2="",$S$31=0),"",IF(SUMPRODUCT(($B$32:$B$63&lt;&gt;"")*($F$32:$F$63=F37))&gt;1,"cb",""))</f>
        <v/>
      </c>
      <c r="O29" s="9" t="n"/>
      <c r="P29" s="27">
        <f>IF(OR(P$2="",$S$31=0),"",IF(SUMPRODUCT(($B$32:$B$63&lt;&gt;"")*($F$32:$F$63=F38))&gt;1,"cb",""))</f>
        <v/>
      </c>
      <c r="Q29" s="9" t="n"/>
      <c r="R29" s="27">
        <f>IF(OR(R$2="",$S$31=0),"",IF(SUMPRODUCT(($B$32:$B$63&lt;&gt;"")*($F$32:$F$63=F39))&gt;1,"cb",""))</f>
        <v/>
      </c>
      <c r="S29" s="9" t="n"/>
      <c r="T29" s="27">
        <f>IF(OR(T$2="",$S$31=0),"",IF(SUMPRODUCT(($B$32:$B$63&lt;&gt;"")*($F$32:$F$63=F40))&gt;1,"cb",""))</f>
        <v/>
      </c>
      <c r="U29" s="9" t="n"/>
      <c r="V29" s="27">
        <f>IF(OR(V$2="",$S$31=0),"",IF(SUMPRODUCT(($B$32:$B$63&lt;&gt;"")*($F$32:$F$63=F41))&gt;1,"cb",""))</f>
        <v/>
      </c>
      <c r="W29" s="9" t="n"/>
      <c r="X29" s="27">
        <f>IF(OR(X$2="",$S$31=0),"",IF(SUMPRODUCT(($B$32:$B$63&lt;&gt;"")*($F$32:$F$63=F42))&gt;1,"cb",""))</f>
        <v/>
      </c>
      <c r="Y29" s="9" t="n"/>
      <c r="Z29" s="27">
        <f>IF(OR(Z$2="",$S$31=0),"",IF(SUMPRODUCT(($B$32:$B$63&lt;&gt;"")*($F$32:$F$63=F43))&gt;1,"cb",""))</f>
        <v/>
      </c>
      <c r="AA29" s="9" t="n"/>
      <c r="AB29" s="27">
        <f>IF(OR(AB$2="",$S$31=0),"",IF(SUMPRODUCT(($B$32:$B$63&lt;&gt;"")*($F$32:$F$63=F44))&gt;1,"cb",""))</f>
        <v/>
      </c>
      <c r="AC29" s="9" t="n"/>
      <c r="AD29" s="27">
        <f>IF(OR(AD$2="",$S$31=0),"",IF(SUMPRODUCT(($B$32:$B$63&lt;&gt;"")*($F$32:$F$63=F45))&gt;1,"cb",""))</f>
        <v/>
      </c>
      <c r="AE29" s="9" t="n"/>
      <c r="AF29" s="27">
        <f>IF(OR(AF$2="",$S$31=0),"",IF(SUMPRODUCT(($B$32:$B$63&lt;&gt;"")*($F$32:$F$63=F46))&gt;1,"cb",""))</f>
        <v/>
      </c>
      <c r="AG29" s="9" t="n"/>
      <c r="AH29" s="27">
        <f>IF(OR(AH$2="",$S$31=0),"",IF(SUMPRODUCT(($B$32:$B$63&lt;&gt;"")*($F$32:$F$63=F47))&gt;1,"cb",""))</f>
        <v/>
      </c>
      <c r="AI29" s="9" t="n"/>
      <c r="AJ29" s="27">
        <f>IF(OR(AJ$2="",$S$31=0),"",IF(SUMPRODUCT(($B$32:$B$63&lt;&gt;"")*($F$32:$F$63=F48))&gt;1,"cb",""))</f>
        <v/>
      </c>
      <c r="AK29" s="9" t="n"/>
      <c r="AL29" s="27">
        <f>IF(OR(AL$2="",$S$31=0),"",IF(SUMPRODUCT(($B$32:$B$63&lt;&gt;"")*($F$32:$F$63=F49))&gt;1,"cb",""))</f>
        <v/>
      </c>
      <c r="AM29" s="9" t="n"/>
      <c r="AN29" s="27">
        <f>IF(OR(AN$2="",$S$31=0),"",IF(SUMPRODUCT(($B$32:$B$63&lt;&gt;"")*($F$32:$F$63=F50))&gt;1,"cb",""))</f>
        <v/>
      </c>
      <c r="AO29" s="9" t="n"/>
      <c r="AP29" s="27">
        <f>IF(OR(AP$2="",$S$31=0),"",IF(SUMPRODUCT(($B$32:$B$63&lt;&gt;"")*($F$32:$F$63=F51))&gt;1,"cb",""))</f>
        <v/>
      </c>
      <c r="AQ29" s="9" t="n"/>
      <c r="AR29" s="27">
        <f>IF(OR(AR$2="",$S$31=0),"",IF(SUMPRODUCT(($B$32:$B$63&lt;&gt;"")*($F$32:$F$63=F52))&gt;1,"cb",""))</f>
        <v/>
      </c>
      <c r="AS29" s="9" t="n"/>
      <c r="AT29" s="27">
        <f>IF(OR(AT$2="",$S$31=0),"",IF(SUMPRODUCT(($B$32:$B$63&lt;&gt;"")*($F$32:$F$63=F53))&gt;1,"cb",""))</f>
        <v/>
      </c>
      <c r="AU29" s="9" t="n"/>
      <c r="AV29" s="27">
        <f>IF(OR(AV$2="",$S$31=0),"",IF(SUMPRODUCT(($B$32:$B$63&lt;&gt;"")*($F$32:$F$63=F54))&gt;1,"cb",""))</f>
        <v/>
      </c>
      <c r="AW29" s="9" t="n"/>
      <c r="AX29" s="27">
        <f>IF(OR(AX$2="",$S$31=0),"",IF(SUMPRODUCT(($B$32:$B$63&lt;&gt;"")*($F$32:$F$63=F55))&gt;1,"cb",""))</f>
        <v/>
      </c>
      <c r="AY29" s="9" t="n"/>
      <c r="AZ29" s="27">
        <f>IF(OR(AZ$2="",$S$31=0),"",IF(SUMPRODUCT(($B$32:$B$63&lt;&gt;"")*($F$32:$F$63=F56))&gt;1,"cb",""))</f>
        <v/>
      </c>
      <c r="BA29" s="9" t="n"/>
      <c r="BB29" s="27">
        <f>IF(OR(BB$2="",$S$31=0),"",IF(SUMPRODUCT(($B$32:$B$63&lt;&gt;"")*($F$32:$F$63=F57))&gt;1,"cb",""))</f>
        <v/>
      </c>
      <c r="BC29" s="9" t="n"/>
      <c r="BD29" s="27">
        <f>IF(OR(BD$2="",$S$31=0),"",IF(SUMPRODUCT(($B$32:$B$63&lt;&gt;"")*($F$32:$F$63=F58))&gt;1,"cb",""))</f>
        <v/>
      </c>
      <c r="BE29" s="9" t="n"/>
      <c r="BF29" s="27">
        <f>IF(OR(BF$2="",$S$31=0),"",IF(SUMPRODUCT(($B$32:$B$63&lt;&gt;"")*($F$32:$F$63=F59))&gt;1,"cb",""))</f>
        <v/>
      </c>
      <c r="BG29" s="9" t="n"/>
      <c r="BH29" s="27">
        <f>IF(OR(BH$2="",$S$31=0),"",IF(SUMPRODUCT(($B$32:$B$63&lt;&gt;"")*($F$32:$F$63=F60))&gt;1,"cb",""))</f>
        <v/>
      </c>
      <c r="BI29" s="9" t="n"/>
      <c r="BJ29" s="27">
        <f>IF(OR(BJ$2="",$S$31=0),"",IF(SUMPRODUCT(($B$32:$B$63&lt;&gt;"")*($F$32:$F$63=F61))&gt;1,"cb",""))</f>
        <v/>
      </c>
      <c r="BK29" s="9" t="n"/>
      <c r="BL29" s="27">
        <f>IF(OR(BL$2="",$S$31=0),"",IF(SUMPRODUCT(($B$32:$B$63&lt;&gt;"")*($F$32:$F$63=F62))&gt;1,"cb",""))</f>
        <v/>
      </c>
      <c r="BM29" s="9" t="n"/>
      <c r="BN29" s="27">
        <f>IF(OR(BN$2="",$S$31=0),"",IF(SUMPRODUCT(($B$32:$B$63&lt;&gt;"")*($F$32:$F$63=F63))&gt;1,"cb",""))</f>
        <v/>
      </c>
      <c r="BO29" s="9" t="n"/>
    </row>
    <row r="31" hidden="1">
      <c r="A31" t="inlineStr">
        <is>
          <t>idx</t>
        </is>
      </c>
      <c r="B31" t="inlineStr">
        <is>
          <t>name</t>
        </is>
      </c>
      <c r="C31" t="inlineStr">
        <is>
          <t>played</t>
        </is>
      </c>
      <c r="D31" t="inlineStr">
        <is>
          <t>raw</t>
        </is>
      </c>
      <c r="E31" t="inlineStr">
        <is>
          <t>pen</t>
        </is>
      </c>
      <c r="F31" t="inlineStr">
        <is>
          <t>net</t>
        </is>
      </c>
      <c r="G31" t="inlineStr">
        <is>
          <t>b9</t>
        </is>
      </c>
      <c r="H31" t="inlineStr">
        <is>
          <t>l6</t>
        </is>
      </c>
      <c r="I31" t="inlineStr">
        <is>
          <t>l3</t>
        </is>
      </c>
      <c r="J31" t="inlineStr">
        <is>
          <t>h18</t>
        </is>
      </c>
      <c r="K31" t="inlineStr">
        <is>
          <t>h17</t>
        </is>
      </c>
      <c r="L31" t="inlineStr">
        <is>
          <t>h16</t>
        </is>
      </c>
      <c r="M31" t="inlineStr">
        <is>
          <t>h15</t>
        </is>
      </c>
      <c r="N31" t="inlineStr">
        <is>
          <t>h14</t>
        </is>
      </c>
      <c r="O31" t="inlineStr">
        <is>
          <t>h13</t>
        </is>
      </c>
      <c r="P31" t="inlineStr">
        <is>
          <t>key</t>
        </is>
      </c>
      <c r="Q31" t="inlineStr">
        <is>
          <t>pos</t>
        </is>
      </c>
      <c r="S31">
        <f>SUM(C32:C63)</f>
        <v/>
      </c>
      <c r="T31">
        <f>IF(S31=0,0,ROUND(SUMPRODUCT(C32:C63,D32:D63)/S31,0))</f>
        <v/>
      </c>
    </row>
    <row r="32" hidden="1">
      <c r="A32" t="n">
        <v>1</v>
      </c>
      <c r="B32">
        <f>IF(D$2="","",D$2)</f>
        <v/>
      </c>
      <c r="C32">
        <f>IF(B32="",0,IF(COUNT(D5:D13,D15:D23)&gt;0,1,0))</f>
        <v/>
      </c>
      <c r="D32">
        <f>N(E25)</f>
        <v/>
      </c>
      <c r="E32">
        <f>N(D26)</f>
        <v/>
      </c>
      <c r="F32">
        <f>IF(B32="",0,IF(C32=1,MAX(0,D32-E32),$T$31))</f>
        <v/>
      </c>
      <c r="G32">
        <f>N(E24)</f>
        <v/>
      </c>
      <c r="H32">
        <f>SUM(E18:E23)</f>
        <v/>
      </c>
      <c r="I32">
        <f>SUM(E21:E23)</f>
        <v/>
      </c>
      <c r="J32">
        <f>N(E23)</f>
        <v/>
      </c>
      <c r="K32">
        <f>N(E22)</f>
        <v/>
      </c>
      <c r="L32">
        <f>N(E21)</f>
        <v/>
      </c>
      <c r="M32">
        <f>N(E20)</f>
        <v/>
      </c>
      <c r="N32">
        <f>N(E19)</f>
        <v/>
      </c>
      <c r="O32">
        <f>N(E18)</f>
        <v/>
      </c>
      <c r="P32">
        <f>F32*10^12+G32*10^10+H32*10^8+I32*10^6+J32*100000+K32*10000+L32*1000+M32*100+N32*10+O32</f>
        <v/>
      </c>
      <c r="Q32">
        <f>IF(B32="","",1+SUMPRODUCT(($B$32:$B$63&lt;&gt;"")*($P$32:$P$63&gt;P32)))</f>
        <v/>
      </c>
    </row>
    <row r="33" hidden="1">
      <c r="A33" t="n">
        <v>2</v>
      </c>
      <c r="B33">
        <f>IF(F$2="","",F$2)</f>
        <v/>
      </c>
      <c r="C33">
        <f>IF(B33="",0,IF(COUNT(F5:F13,F15:F23)&gt;0,1,0))</f>
        <v/>
      </c>
      <c r="D33">
        <f>N(G25)</f>
        <v/>
      </c>
      <c r="E33">
        <f>N(F26)</f>
        <v/>
      </c>
      <c r="F33">
        <f>IF(B33="",0,IF(C33=1,MAX(0,D33-E33),$T$31))</f>
        <v/>
      </c>
      <c r="G33">
        <f>N(G24)</f>
        <v/>
      </c>
      <c r="H33">
        <f>SUM(G18:G23)</f>
        <v/>
      </c>
      <c r="I33">
        <f>SUM(G21:G23)</f>
        <v/>
      </c>
      <c r="J33">
        <f>N(G23)</f>
        <v/>
      </c>
      <c r="K33">
        <f>N(G22)</f>
        <v/>
      </c>
      <c r="L33">
        <f>N(G21)</f>
        <v/>
      </c>
      <c r="M33">
        <f>N(G20)</f>
        <v/>
      </c>
      <c r="N33">
        <f>N(G19)</f>
        <v/>
      </c>
      <c r="O33">
        <f>N(G18)</f>
        <v/>
      </c>
      <c r="P33">
        <f>F33*10^12+G33*10^10+H33*10^8+I33*10^6+J33*100000+K33*10000+L33*1000+M33*100+N33*10+O33</f>
        <v/>
      </c>
      <c r="Q33">
        <f>IF(B33="","",1+SUMPRODUCT(($B$32:$B$63&lt;&gt;"")*($P$32:$P$63&gt;P33)))</f>
        <v/>
      </c>
    </row>
    <row r="34" hidden="1">
      <c r="A34" t="n">
        <v>3</v>
      </c>
      <c r="B34">
        <f>IF(H$2="","",H$2)</f>
        <v/>
      </c>
      <c r="C34">
        <f>IF(B34="",0,IF(COUNT(H5:H13,H15:H23)&gt;0,1,0))</f>
        <v/>
      </c>
      <c r="D34">
        <f>N(I25)</f>
        <v/>
      </c>
      <c r="E34">
        <f>N(H26)</f>
        <v/>
      </c>
      <c r="F34">
        <f>IF(B34="",0,IF(C34=1,MAX(0,D34-E34),$T$31))</f>
        <v/>
      </c>
      <c r="G34">
        <f>N(I24)</f>
        <v/>
      </c>
      <c r="H34">
        <f>SUM(I18:I23)</f>
        <v/>
      </c>
      <c r="I34">
        <f>SUM(I21:I23)</f>
        <v/>
      </c>
      <c r="J34">
        <f>N(I23)</f>
        <v/>
      </c>
      <c r="K34">
        <f>N(I22)</f>
        <v/>
      </c>
      <c r="L34">
        <f>N(I21)</f>
        <v/>
      </c>
      <c r="M34">
        <f>N(I20)</f>
        <v/>
      </c>
      <c r="N34">
        <f>N(I19)</f>
        <v/>
      </c>
      <c r="O34">
        <f>N(I18)</f>
        <v/>
      </c>
      <c r="P34">
        <f>F34*10^12+G34*10^10+H34*10^8+I34*10^6+J34*100000+K34*10000+L34*1000+M34*100+N34*10+O34</f>
        <v/>
      </c>
      <c r="Q34">
        <f>IF(B34="","",1+SUMPRODUCT(($B$32:$B$63&lt;&gt;"")*($P$32:$P$63&gt;P34)))</f>
        <v/>
      </c>
    </row>
    <row r="35" hidden="1">
      <c r="A35" t="n">
        <v>4</v>
      </c>
      <c r="B35">
        <f>IF(J$2="","",J$2)</f>
        <v/>
      </c>
      <c r="C35">
        <f>IF(B35="",0,IF(COUNT(J5:J13,J15:J23)&gt;0,1,0))</f>
        <v/>
      </c>
      <c r="D35">
        <f>N(K25)</f>
        <v/>
      </c>
      <c r="E35">
        <f>N(J26)</f>
        <v/>
      </c>
      <c r="F35">
        <f>IF(B35="",0,IF(C35=1,MAX(0,D35-E35),$T$31))</f>
        <v/>
      </c>
      <c r="G35">
        <f>N(K24)</f>
        <v/>
      </c>
      <c r="H35">
        <f>SUM(K18:K23)</f>
        <v/>
      </c>
      <c r="I35">
        <f>SUM(K21:K23)</f>
        <v/>
      </c>
      <c r="J35">
        <f>N(K23)</f>
        <v/>
      </c>
      <c r="K35">
        <f>N(K22)</f>
        <v/>
      </c>
      <c r="L35">
        <f>N(K21)</f>
        <v/>
      </c>
      <c r="M35">
        <f>N(K20)</f>
        <v/>
      </c>
      <c r="N35">
        <f>N(K19)</f>
        <v/>
      </c>
      <c r="O35">
        <f>N(K18)</f>
        <v/>
      </c>
      <c r="P35">
        <f>F35*10^12+G35*10^10+H35*10^8+I35*10^6+J35*100000+K35*10000+L35*1000+M35*100+N35*10+O35</f>
        <v/>
      </c>
      <c r="Q35">
        <f>IF(B35="","",1+SUMPRODUCT(($B$32:$B$63&lt;&gt;"")*($P$32:$P$63&gt;P35)))</f>
        <v/>
      </c>
    </row>
    <row r="36" hidden="1">
      <c r="A36" t="n">
        <v>5</v>
      </c>
      <c r="B36">
        <f>IF(L$2="","",L$2)</f>
        <v/>
      </c>
      <c r="C36">
        <f>IF(B36="",0,IF(COUNT(L5:L13,L15:L23)&gt;0,1,0))</f>
        <v/>
      </c>
      <c r="D36">
        <f>N(M25)</f>
        <v/>
      </c>
      <c r="E36">
        <f>N(L26)</f>
        <v/>
      </c>
      <c r="F36">
        <f>IF(B36="",0,IF(C36=1,MAX(0,D36-E36),$T$31))</f>
        <v/>
      </c>
      <c r="G36">
        <f>N(M24)</f>
        <v/>
      </c>
      <c r="H36">
        <f>SUM(M18:M23)</f>
        <v/>
      </c>
      <c r="I36">
        <f>SUM(M21:M23)</f>
        <v/>
      </c>
      <c r="J36">
        <f>N(M23)</f>
        <v/>
      </c>
      <c r="K36">
        <f>N(M22)</f>
        <v/>
      </c>
      <c r="L36">
        <f>N(M21)</f>
        <v/>
      </c>
      <c r="M36">
        <f>N(M20)</f>
        <v/>
      </c>
      <c r="N36">
        <f>N(M19)</f>
        <v/>
      </c>
      <c r="O36">
        <f>N(M18)</f>
        <v/>
      </c>
      <c r="P36">
        <f>F36*10^12+G36*10^10+H36*10^8+I36*10^6+J36*100000+K36*10000+L36*1000+M36*100+N36*10+O36</f>
        <v/>
      </c>
      <c r="Q36">
        <f>IF(B36="","",1+SUMPRODUCT(($B$32:$B$63&lt;&gt;"")*($P$32:$P$63&gt;P36)))</f>
        <v/>
      </c>
    </row>
    <row r="37" hidden="1">
      <c r="A37" t="n">
        <v>6</v>
      </c>
      <c r="B37">
        <f>IF(N$2="","",N$2)</f>
        <v/>
      </c>
      <c r="C37">
        <f>IF(B37="",0,IF(COUNT(N5:N13,N15:N23)&gt;0,1,0))</f>
        <v/>
      </c>
      <c r="D37">
        <f>N(O25)</f>
        <v/>
      </c>
      <c r="E37">
        <f>N(N26)</f>
        <v/>
      </c>
      <c r="F37">
        <f>IF(B37="",0,IF(C37=1,MAX(0,D37-E37),$T$31))</f>
        <v/>
      </c>
      <c r="G37">
        <f>N(O24)</f>
        <v/>
      </c>
      <c r="H37">
        <f>SUM(O18:O23)</f>
        <v/>
      </c>
      <c r="I37">
        <f>SUM(O21:O23)</f>
        <v/>
      </c>
      <c r="J37">
        <f>N(O23)</f>
        <v/>
      </c>
      <c r="K37">
        <f>N(O22)</f>
        <v/>
      </c>
      <c r="L37">
        <f>N(O21)</f>
        <v/>
      </c>
      <c r="M37">
        <f>N(O20)</f>
        <v/>
      </c>
      <c r="N37">
        <f>N(O19)</f>
        <v/>
      </c>
      <c r="O37">
        <f>N(O18)</f>
        <v/>
      </c>
      <c r="P37">
        <f>F37*10^12+G37*10^10+H37*10^8+I37*10^6+J37*100000+K37*10000+L37*1000+M37*100+N37*10+O37</f>
        <v/>
      </c>
      <c r="Q37">
        <f>IF(B37="","",1+SUMPRODUCT(($B$32:$B$63&lt;&gt;"")*($P$32:$P$63&gt;P37)))</f>
        <v/>
      </c>
    </row>
    <row r="38" hidden="1">
      <c r="A38" t="n">
        <v>7</v>
      </c>
      <c r="B38">
        <f>IF(P$2="","",P$2)</f>
        <v/>
      </c>
      <c r="C38">
        <f>IF(B38="",0,IF(COUNT(P5:P13,P15:P23)&gt;0,1,0))</f>
        <v/>
      </c>
      <c r="D38">
        <f>N(Q25)</f>
        <v/>
      </c>
      <c r="E38">
        <f>N(P26)</f>
        <v/>
      </c>
      <c r="F38">
        <f>IF(B38="",0,IF(C38=1,MAX(0,D38-E38),$T$31))</f>
        <v/>
      </c>
      <c r="G38">
        <f>N(Q24)</f>
        <v/>
      </c>
      <c r="H38">
        <f>SUM(Q18:Q23)</f>
        <v/>
      </c>
      <c r="I38">
        <f>SUM(Q21:Q23)</f>
        <v/>
      </c>
      <c r="J38">
        <f>N(Q23)</f>
        <v/>
      </c>
      <c r="K38">
        <f>N(Q22)</f>
        <v/>
      </c>
      <c r="L38">
        <f>N(Q21)</f>
        <v/>
      </c>
      <c r="M38">
        <f>N(Q20)</f>
        <v/>
      </c>
      <c r="N38">
        <f>N(Q19)</f>
        <v/>
      </c>
      <c r="O38">
        <f>N(Q18)</f>
        <v/>
      </c>
      <c r="P38">
        <f>F38*10^12+G38*10^10+H38*10^8+I38*10^6+J38*100000+K38*10000+L38*1000+M38*100+N38*10+O38</f>
        <v/>
      </c>
      <c r="Q38">
        <f>IF(B38="","",1+SUMPRODUCT(($B$32:$B$63&lt;&gt;"")*($P$32:$P$63&gt;P38)))</f>
        <v/>
      </c>
    </row>
    <row r="39" hidden="1">
      <c r="A39" t="n">
        <v>8</v>
      </c>
      <c r="B39">
        <f>IF(R$2="","",R$2)</f>
        <v/>
      </c>
      <c r="C39">
        <f>IF(B39="",0,IF(COUNT(R5:R13,R15:R23)&gt;0,1,0))</f>
        <v/>
      </c>
      <c r="D39">
        <f>N(S25)</f>
        <v/>
      </c>
      <c r="E39">
        <f>N(R26)</f>
        <v/>
      </c>
      <c r="F39">
        <f>IF(B39="",0,IF(C39=1,MAX(0,D39-E39),$T$31))</f>
        <v/>
      </c>
      <c r="G39">
        <f>N(S24)</f>
        <v/>
      </c>
      <c r="H39">
        <f>SUM(S18:S23)</f>
        <v/>
      </c>
      <c r="I39">
        <f>SUM(S21:S23)</f>
        <v/>
      </c>
      <c r="J39">
        <f>N(S23)</f>
        <v/>
      </c>
      <c r="K39">
        <f>N(S22)</f>
        <v/>
      </c>
      <c r="L39">
        <f>N(S21)</f>
        <v/>
      </c>
      <c r="M39">
        <f>N(S20)</f>
        <v/>
      </c>
      <c r="N39">
        <f>N(S19)</f>
        <v/>
      </c>
      <c r="O39">
        <f>N(S18)</f>
        <v/>
      </c>
      <c r="P39">
        <f>F39*10^12+G39*10^10+H39*10^8+I39*10^6+J39*100000+K39*10000+L39*1000+M39*100+N39*10+O39</f>
        <v/>
      </c>
      <c r="Q39">
        <f>IF(B39="","",1+SUMPRODUCT(($B$32:$B$63&lt;&gt;"")*($P$32:$P$63&gt;P39)))</f>
        <v/>
      </c>
    </row>
    <row r="40" hidden="1">
      <c r="A40" t="n">
        <v>9</v>
      </c>
      <c r="B40">
        <f>IF(T$2="","",T$2)</f>
        <v/>
      </c>
      <c r="C40">
        <f>IF(B40="",0,IF(COUNT(T5:T13,T15:T23)&gt;0,1,0))</f>
        <v/>
      </c>
      <c r="D40">
        <f>N(U25)</f>
        <v/>
      </c>
      <c r="E40">
        <f>N(T26)</f>
        <v/>
      </c>
      <c r="F40">
        <f>IF(B40="",0,IF(C40=1,MAX(0,D40-E40),$T$31))</f>
        <v/>
      </c>
      <c r="G40">
        <f>N(U24)</f>
        <v/>
      </c>
      <c r="H40">
        <f>SUM(U18:U23)</f>
        <v/>
      </c>
      <c r="I40">
        <f>SUM(U21:U23)</f>
        <v/>
      </c>
      <c r="J40">
        <f>N(U23)</f>
        <v/>
      </c>
      <c r="K40">
        <f>N(U22)</f>
        <v/>
      </c>
      <c r="L40">
        <f>N(U21)</f>
        <v/>
      </c>
      <c r="M40">
        <f>N(U20)</f>
        <v/>
      </c>
      <c r="N40">
        <f>N(U19)</f>
        <v/>
      </c>
      <c r="O40">
        <f>N(U18)</f>
        <v/>
      </c>
      <c r="P40">
        <f>F40*10^12+G40*10^10+H40*10^8+I40*10^6+J40*100000+K40*10000+L40*1000+M40*100+N40*10+O40</f>
        <v/>
      </c>
      <c r="Q40">
        <f>IF(B40="","",1+SUMPRODUCT(($B$32:$B$63&lt;&gt;"")*($P$32:$P$63&gt;P40)))</f>
        <v/>
      </c>
    </row>
    <row r="41" hidden="1">
      <c r="A41" t="n">
        <v>10</v>
      </c>
      <c r="B41">
        <f>IF(V$2="","",V$2)</f>
        <v/>
      </c>
      <c r="C41">
        <f>IF(B41="",0,IF(COUNT(V5:V13,V15:V23)&gt;0,1,0))</f>
        <v/>
      </c>
      <c r="D41">
        <f>N(W25)</f>
        <v/>
      </c>
      <c r="E41">
        <f>N(V26)</f>
        <v/>
      </c>
      <c r="F41">
        <f>IF(B41="",0,IF(C41=1,MAX(0,D41-E41),$T$31))</f>
        <v/>
      </c>
      <c r="G41">
        <f>N(W24)</f>
        <v/>
      </c>
      <c r="H41">
        <f>SUM(W18:W23)</f>
        <v/>
      </c>
      <c r="I41">
        <f>SUM(W21:W23)</f>
        <v/>
      </c>
      <c r="J41">
        <f>N(W23)</f>
        <v/>
      </c>
      <c r="K41">
        <f>N(W22)</f>
        <v/>
      </c>
      <c r="L41">
        <f>N(W21)</f>
        <v/>
      </c>
      <c r="M41">
        <f>N(W20)</f>
        <v/>
      </c>
      <c r="N41">
        <f>N(W19)</f>
        <v/>
      </c>
      <c r="O41">
        <f>N(W18)</f>
        <v/>
      </c>
      <c r="P41">
        <f>F41*10^12+G41*10^10+H41*10^8+I41*10^6+J41*100000+K41*10000+L41*1000+M41*100+N41*10+O41</f>
        <v/>
      </c>
      <c r="Q41">
        <f>IF(B41="","",1+SUMPRODUCT(($B$32:$B$63&lt;&gt;"")*($P$32:$P$63&gt;P41)))</f>
        <v/>
      </c>
    </row>
    <row r="42" hidden="1">
      <c r="A42" t="n">
        <v>11</v>
      </c>
      <c r="B42">
        <f>IF(X$2="","",X$2)</f>
        <v/>
      </c>
      <c r="C42">
        <f>IF(B42="",0,IF(COUNT(X5:X13,X15:X23)&gt;0,1,0))</f>
        <v/>
      </c>
      <c r="D42">
        <f>N(Y25)</f>
        <v/>
      </c>
      <c r="E42">
        <f>N(X26)</f>
        <v/>
      </c>
      <c r="F42">
        <f>IF(B42="",0,IF(C42=1,MAX(0,D42-E42),$T$31))</f>
        <v/>
      </c>
      <c r="G42">
        <f>N(Y24)</f>
        <v/>
      </c>
      <c r="H42">
        <f>SUM(Y18:Y23)</f>
        <v/>
      </c>
      <c r="I42">
        <f>SUM(Y21:Y23)</f>
        <v/>
      </c>
      <c r="J42">
        <f>N(Y23)</f>
        <v/>
      </c>
      <c r="K42">
        <f>N(Y22)</f>
        <v/>
      </c>
      <c r="L42">
        <f>N(Y21)</f>
        <v/>
      </c>
      <c r="M42">
        <f>N(Y20)</f>
        <v/>
      </c>
      <c r="N42">
        <f>N(Y19)</f>
        <v/>
      </c>
      <c r="O42">
        <f>N(Y18)</f>
        <v/>
      </c>
      <c r="P42">
        <f>F42*10^12+G42*10^10+H42*10^8+I42*10^6+J42*100000+K42*10000+L42*1000+M42*100+N42*10+O42</f>
        <v/>
      </c>
      <c r="Q42">
        <f>IF(B42="","",1+SUMPRODUCT(($B$32:$B$63&lt;&gt;"")*($P$32:$P$63&gt;P42)))</f>
        <v/>
      </c>
    </row>
    <row r="43" hidden="1">
      <c r="A43" t="n">
        <v>12</v>
      </c>
      <c r="B43">
        <f>IF(Z$2="","",Z$2)</f>
        <v/>
      </c>
      <c r="C43">
        <f>IF(B43="",0,IF(COUNT(Z5:Z13,Z15:Z23)&gt;0,1,0))</f>
        <v/>
      </c>
      <c r="D43">
        <f>N(AA25)</f>
        <v/>
      </c>
      <c r="E43">
        <f>N(Z26)</f>
        <v/>
      </c>
      <c r="F43">
        <f>IF(B43="",0,IF(C43=1,MAX(0,D43-E43),$T$31))</f>
        <v/>
      </c>
      <c r="G43">
        <f>N(AA24)</f>
        <v/>
      </c>
      <c r="H43">
        <f>SUM(AA18:AA23)</f>
        <v/>
      </c>
      <c r="I43">
        <f>SUM(AA21:AA23)</f>
        <v/>
      </c>
      <c r="J43">
        <f>N(AA23)</f>
        <v/>
      </c>
      <c r="K43">
        <f>N(AA22)</f>
        <v/>
      </c>
      <c r="L43">
        <f>N(AA21)</f>
        <v/>
      </c>
      <c r="M43">
        <f>N(AA20)</f>
        <v/>
      </c>
      <c r="N43">
        <f>N(AA19)</f>
        <v/>
      </c>
      <c r="O43">
        <f>N(AA18)</f>
        <v/>
      </c>
      <c r="P43">
        <f>F43*10^12+G43*10^10+H43*10^8+I43*10^6+J43*100000+K43*10000+L43*1000+M43*100+N43*10+O43</f>
        <v/>
      </c>
      <c r="Q43">
        <f>IF(B43="","",1+SUMPRODUCT(($B$32:$B$63&lt;&gt;"")*($P$32:$P$63&gt;P43)))</f>
        <v/>
      </c>
    </row>
    <row r="44" hidden="1">
      <c r="A44" t="n">
        <v>13</v>
      </c>
      <c r="B44">
        <f>IF(AB$2="","",AB$2)</f>
        <v/>
      </c>
      <c r="C44">
        <f>IF(B44="",0,IF(COUNT(AB5:AB13,AB15:AB23)&gt;0,1,0))</f>
        <v/>
      </c>
      <c r="D44">
        <f>N(AC25)</f>
        <v/>
      </c>
      <c r="E44">
        <f>N(AB26)</f>
        <v/>
      </c>
      <c r="F44">
        <f>IF(B44="",0,IF(C44=1,MAX(0,D44-E44),$T$31))</f>
        <v/>
      </c>
      <c r="G44">
        <f>N(AC24)</f>
        <v/>
      </c>
      <c r="H44">
        <f>SUM(AC18:AC23)</f>
        <v/>
      </c>
      <c r="I44">
        <f>SUM(AC21:AC23)</f>
        <v/>
      </c>
      <c r="J44">
        <f>N(AC23)</f>
        <v/>
      </c>
      <c r="K44">
        <f>N(AC22)</f>
        <v/>
      </c>
      <c r="L44">
        <f>N(AC21)</f>
        <v/>
      </c>
      <c r="M44">
        <f>N(AC20)</f>
        <v/>
      </c>
      <c r="N44">
        <f>N(AC19)</f>
        <v/>
      </c>
      <c r="O44">
        <f>N(AC18)</f>
        <v/>
      </c>
      <c r="P44">
        <f>F44*10^12+G44*10^10+H44*10^8+I44*10^6+J44*100000+K44*10000+L44*1000+M44*100+N44*10+O44</f>
        <v/>
      </c>
      <c r="Q44">
        <f>IF(B44="","",1+SUMPRODUCT(($B$32:$B$63&lt;&gt;"")*($P$32:$P$63&gt;P44)))</f>
        <v/>
      </c>
    </row>
    <row r="45" hidden="1">
      <c r="A45" t="n">
        <v>14</v>
      </c>
      <c r="B45">
        <f>IF(AD$2="","",AD$2)</f>
        <v/>
      </c>
      <c r="C45">
        <f>IF(B45="",0,IF(COUNT(AD5:AD13,AD15:AD23)&gt;0,1,0))</f>
        <v/>
      </c>
      <c r="D45">
        <f>N(AE25)</f>
        <v/>
      </c>
      <c r="E45">
        <f>N(AD26)</f>
        <v/>
      </c>
      <c r="F45">
        <f>IF(B45="",0,IF(C45=1,MAX(0,D45-E45),$T$31))</f>
        <v/>
      </c>
      <c r="G45">
        <f>N(AE24)</f>
        <v/>
      </c>
      <c r="H45">
        <f>SUM(AE18:AE23)</f>
        <v/>
      </c>
      <c r="I45">
        <f>SUM(AE21:AE23)</f>
        <v/>
      </c>
      <c r="J45">
        <f>N(AE23)</f>
        <v/>
      </c>
      <c r="K45">
        <f>N(AE22)</f>
        <v/>
      </c>
      <c r="L45">
        <f>N(AE21)</f>
        <v/>
      </c>
      <c r="M45">
        <f>N(AE20)</f>
        <v/>
      </c>
      <c r="N45">
        <f>N(AE19)</f>
        <v/>
      </c>
      <c r="O45">
        <f>N(AE18)</f>
        <v/>
      </c>
      <c r="P45">
        <f>F45*10^12+G45*10^10+H45*10^8+I45*10^6+J45*100000+K45*10000+L45*1000+M45*100+N45*10+O45</f>
        <v/>
      </c>
      <c r="Q45">
        <f>IF(B45="","",1+SUMPRODUCT(($B$32:$B$63&lt;&gt;"")*($P$32:$P$63&gt;P45)))</f>
        <v/>
      </c>
    </row>
    <row r="46" hidden="1">
      <c r="A46" t="n">
        <v>15</v>
      </c>
      <c r="B46">
        <f>IF(AF$2="","",AF$2)</f>
        <v/>
      </c>
      <c r="C46">
        <f>IF(B46="",0,IF(COUNT(AF5:AF13,AF15:AF23)&gt;0,1,0))</f>
        <v/>
      </c>
      <c r="D46">
        <f>N(AG25)</f>
        <v/>
      </c>
      <c r="E46">
        <f>N(AF26)</f>
        <v/>
      </c>
      <c r="F46">
        <f>IF(B46="",0,IF(C46=1,MAX(0,D46-E46),$T$31))</f>
        <v/>
      </c>
      <c r="G46">
        <f>N(AG24)</f>
        <v/>
      </c>
      <c r="H46">
        <f>SUM(AG18:AG23)</f>
        <v/>
      </c>
      <c r="I46">
        <f>SUM(AG21:AG23)</f>
        <v/>
      </c>
      <c r="J46">
        <f>N(AG23)</f>
        <v/>
      </c>
      <c r="K46">
        <f>N(AG22)</f>
        <v/>
      </c>
      <c r="L46">
        <f>N(AG21)</f>
        <v/>
      </c>
      <c r="M46">
        <f>N(AG20)</f>
        <v/>
      </c>
      <c r="N46">
        <f>N(AG19)</f>
        <v/>
      </c>
      <c r="O46">
        <f>N(AG18)</f>
        <v/>
      </c>
      <c r="P46">
        <f>F46*10^12+G46*10^10+H46*10^8+I46*10^6+J46*100000+K46*10000+L46*1000+M46*100+N46*10+O46</f>
        <v/>
      </c>
      <c r="Q46">
        <f>IF(B46="","",1+SUMPRODUCT(($B$32:$B$63&lt;&gt;"")*($P$32:$P$63&gt;P46)))</f>
        <v/>
      </c>
    </row>
    <row r="47" hidden="1">
      <c r="A47" t="n">
        <v>16</v>
      </c>
      <c r="B47">
        <f>IF(AH$2="","",AH$2)</f>
        <v/>
      </c>
      <c r="C47">
        <f>IF(B47="",0,IF(COUNT(AH5:AH13,AH15:AH23)&gt;0,1,0))</f>
        <v/>
      </c>
      <c r="D47">
        <f>N(AI25)</f>
        <v/>
      </c>
      <c r="E47">
        <f>N(AH26)</f>
        <v/>
      </c>
      <c r="F47">
        <f>IF(B47="",0,IF(C47=1,MAX(0,D47-E47),$T$31))</f>
        <v/>
      </c>
      <c r="G47">
        <f>N(AI24)</f>
        <v/>
      </c>
      <c r="H47">
        <f>SUM(AI18:AI23)</f>
        <v/>
      </c>
      <c r="I47">
        <f>SUM(AI21:AI23)</f>
        <v/>
      </c>
      <c r="J47">
        <f>N(AI23)</f>
        <v/>
      </c>
      <c r="K47">
        <f>N(AI22)</f>
        <v/>
      </c>
      <c r="L47">
        <f>N(AI21)</f>
        <v/>
      </c>
      <c r="M47">
        <f>N(AI20)</f>
        <v/>
      </c>
      <c r="N47">
        <f>N(AI19)</f>
        <v/>
      </c>
      <c r="O47">
        <f>N(AI18)</f>
        <v/>
      </c>
      <c r="P47">
        <f>F47*10^12+G47*10^10+H47*10^8+I47*10^6+J47*100000+K47*10000+L47*1000+M47*100+N47*10+O47</f>
        <v/>
      </c>
      <c r="Q47">
        <f>IF(B47="","",1+SUMPRODUCT(($B$32:$B$63&lt;&gt;"")*($P$32:$P$63&gt;P47)))</f>
        <v/>
      </c>
    </row>
    <row r="48" hidden="1">
      <c r="A48" t="n">
        <v>17</v>
      </c>
      <c r="B48">
        <f>IF(AJ$2="","",AJ$2)</f>
        <v/>
      </c>
      <c r="C48">
        <f>IF(B48="",0,IF(COUNT(AJ5:AJ13,AJ15:AJ23)&gt;0,1,0))</f>
        <v/>
      </c>
      <c r="D48">
        <f>N(AK25)</f>
        <v/>
      </c>
      <c r="E48">
        <f>N(AJ26)</f>
        <v/>
      </c>
      <c r="F48">
        <f>IF(B48="",0,IF(C48=1,MAX(0,D48-E48),$T$31))</f>
        <v/>
      </c>
      <c r="G48">
        <f>N(AK24)</f>
        <v/>
      </c>
      <c r="H48">
        <f>SUM(AK18:AK23)</f>
        <v/>
      </c>
      <c r="I48">
        <f>SUM(AK21:AK23)</f>
        <v/>
      </c>
      <c r="J48">
        <f>N(AK23)</f>
        <v/>
      </c>
      <c r="K48">
        <f>N(AK22)</f>
        <v/>
      </c>
      <c r="L48">
        <f>N(AK21)</f>
        <v/>
      </c>
      <c r="M48">
        <f>N(AK20)</f>
        <v/>
      </c>
      <c r="N48">
        <f>N(AK19)</f>
        <v/>
      </c>
      <c r="O48">
        <f>N(AK18)</f>
        <v/>
      </c>
      <c r="P48">
        <f>F48*10^12+G48*10^10+H48*10^8+I48*10^6+J48*100000+K48*10000+L48*1000+M48*100+N48*10+O48</f>
        <v/>
      </c>
      <c r="Q48">
        <f>IF(B48="","",1+SUMPRODUCT(($B$32:$B$63&lt;&gt;"")*($P$32:$P$63&gt;P48)))</f>
        <v/>
      </c>
    </row>
    <row r="49" hidden="1">
      <c r="A49" t="n">
        <v>18</v>
      </c>
      <c r="B49">
        <f>IF(AL$2="","",AL$2)</f>
        <v/>
      </c>
      <c r="C49">
        <f>IF(B49="",0,IF(COUNT(AL5:AL13,AL15:AL23)&gt;0,1,0))</f>
        <v/>
      </c>
      <c r="D49">
        <f>N(AM25)</f>
        <v/>
      </c>
      <c r="E49">
        <f>N(AL26)</f>
        <v/>
      </c>
      <c r="F49">
        <f>IF(B49="",0,IF(C49=1,MAX(0,D49-E49),$T$31))</f>
        <v/>
      </c>
      <c r="G49">
        <f>N(AM24)</f>
        <v/>
      </c>
      <c r="H49">
        <f>SUM(AM18:AM23)</f>
        <v/>
      </c>
      <c r="I49">
        <f>SUM(AM21:AM23)</f>
        <v/>
      </c>
      <c r="J49">
        <f>N(AM23)</f>
        <v/>
      </c>
      <c r="K49">
        <f>N(AM22)</f>
        <v/>
      </c>
      <c r="L49">
        <f>N(AM21)</f>
        <v/>
      </c>
      <c r="M49">
        <f>N(AM20)</f>
        <v/>
      </c>
      <c r="N49">
        <f>N(AM19)</f>
        <v/>
      </c>
      <c r="O49">
        <f>N(AM18)</f>
        <v/>
      </c>
      <c r="P49">
        <f>F49*10^12+G49*10^10+H49*10^8+I49*10^6+J49*100000+K49*10000+L49*1000+M49*100+N49*10+O49</f>
        <v/>
      </c>
      <c r="Q49">
        <f>IF(B49="","",1+SUMPRODUCT(($B$32:$B$63&lt;&gt;"")*($P$32:$P$63&gt;P49)))</f>
        <v/>
      </c>
    </row>
    <row r="50" hidden="1">
      <c r="A50" t="n">
        <v>19</v>
      </c>
      <c r="B50">
        <f>IF(AN$2="","",AN$2)</f>
        <v/>
      </c>
      <c r="C50">
        <f>IF(B50="",0,IF(COUNT(AN5:AN13,AN15:AN23)&gt;0,1,0))</f>
        <v/>
      </c>
      <c r="D50">
        <f>N(AO25)</f>
        <v/>
      </c>
      <c r="E50">
        <f>N(AN26)</f>
        <v/>
      </c>
      <c r="F50">
        <f>IF(B50="",0,IF(C50=1,MAX(0,D50-E50),$T$31))</f>
        <v/>
      </c>
      <c r="G50">
        <f>N(AO24)</f>
        <v/>
      </c>
      <c r="H50">
        <f>SUM(AO18:AO23)</f>
        <v/>
      </c>
      <c r="I50">
        <f>SUM(AO21:AO23)</f>
        <v/>
      </c>
      <c r="J50">
        <f>N(AO23)</f>
        <v/>
      </c>
      <c r="K50">
        <f>N(AO22)</f>
        <v/>
      </c>
      <c r="L50">
        <f>N(AO21)</f>
        <v/>
      </c>
      <c r="M50">
        <f>N(AO20)</f>
        <v/>
      </c>
      <c r="N50">
        <f>N(AO19)</f>
        <v/>
      </c>
      <c r="O50">
        <f>N(AO18)</f>
        <v/>
      </c>
      <c r="P50">
        <f>F50*10^12+G50*10^10+H50*10^8+I50*10^6+J50*100000+K50*10000+L50*1000+M50*100+N50*10+O50</f>
        <v/>
      </c>
      <c r="Q50">
        <f>IF(B50="","",1+SUMPRODUCT(($B$32:$B$63&lt;&gt;"")*($P$32:$P$63&gt;P50)))</f>
        <v/>
      </c>
    </row>
    <row r="51" hidden="1">
      <c r="A51" t="n">
        <v>20</v>
      </c>
      <c r="B51">
        <f>IF(AP$2="","",AP$2)</f>
        <v/>
      </c>
      <c r="C51">
        <f>IF(B51="",0,IF(COUNT(AP5:AP13,AP15:AP23)&gt;0,1,0))</f>
        <v/>
      </c>
      <c r="D51">
        <f>N(AQ25)</f>
        <v/>
      </c>
      <c r="E51">
        <f>N(AP26)</f>
        <v/>
      </c>
      <c r="F51">
        <f>IF(B51="",0,IF(C51=1,MAX(0,D51-E51),$T$31))</f>
        <v/>
      </c>
      <c r="G51">
        <f>N(AQ24)</f>
        <v/>
      </c>
      <c r="H51">
        <f>SUM(AQ18:AQ23)</f>
        <v/>
      </c>
      <c r="I51">
        <f>SUM(AQ21:AQ23)</f>
        <v/>
      </c>
      <c r="J51">
        <f>N(AQ23)</f>
        <v/>
      </c>
      <c r="K51">
        <f>N(AQ22)</f>
        <v/>
      </c>
      <c r="L51">
        <f>N(AQ21)</f>
        <v/>
      </c>
      <c r="M51">
        <f>N(AQ20)</f>
        <v/>
      </c>
      <c r="N51">
        <f>N(AQ19)</f>
        <v/>
      </c>
      <c r="O51">
        <f>N(AQ18)</f>
        <v/>
      </c>
      <c r="P51">
        <f>F51*10^12+G51*10^10+H51*10^8+I51*10^6+J51*100000+K51*10000+L51*1000+M51*100+N51*10+O51</f>
        <v/>
      </c>
      <c r="Q51">
        <f>IF(B51="","",1+SUMPRODUCT(($B$32:$B$63&lt;&gt;"")*($P$32:$P$63&gt;P51)))</f>
        <v/>
      </c>
    </row>
    <row r="52" hidden="1">
      <c r="A52" t="n">
        <v>21</v>
      </c>
      <c r="B52">
        <f>IF(AR$2="","",AR$2)</f>
        <v/>
      </c>
      <c r="C52">
        <f>IF(B52="",0,IF(COUNT(AR5:AR13,AR15:AR23)&gt;0,1,0))</f>
        <v/>
      </c>
      <c r="D52">
        <f>N(AS25)</f>
        <v/>
      </c>
      <c r="E52">
        <f>N(AR26)</f>
        <v/>
      </c>
      <c r="F52">
        <f>IF(B52="",0,IF(C52=1,MAX(0,D52-E52),$T$31))</f>
        <v/>
      </c>
      <c r="G52">
        <f>N(AS24)</f>
        <v/>
      </c>
      <c r="H52">
        <f>SUM(AS18:AS23)</f>
        <v/>
      </c>
      <c r="I52">
        <f>SUM(AS21:AS23)</f>
        <v/>
      </c>
      <c r="J52">
        <f>N(AS23)</f>
        <v/>
      </c>
      <c r="K52">
        <f>N(AS22)</f>
        <v/>
      </c>
      <c r="L52">
        <f>N(AS21)</f>
        <v/>
      </c>
      <c r="M52">
        <f>N(AS20)</f>
        <v/>
      </c>
      <c r="N52">
        <f>N(AS19)</f>
        <v/>
      </c>
      <c r="O52">
        <f>N(AS18)</f>
        <v/>
      </c>
      <c r="P52">
        <f>F52*10^12+G52*10^10+H52*10^8+I52*10^6+J52*100000+K52*10000+L52*1000+M52*100+N52*10+O52</f>
        <v/>
      </c>
      <c r="Q52">
        <f>IF(B52="","",1+SUMPRODUCT(($B$32:$B$63&lt;&gt;"")*($P$32:$P$63&gt;P52)))</f>
        <v/>
      </c>
    </row>
    <row r="53" hidden="1">
      <c r="A53" t="n">
        <v>22</v>
      </c>
      <c r="B53">
        <f>IF(AT$2="","",AT$2)</f>
        <v/>
      </c>
      <c r="C53">
        <f>IF(B53="",0,IF(COUNT(AT5:AT13,AT15:AT23)&gt;0,1,0))</f>
        <v/>
      </c>
      <c r="D53">
        <f>N(AU25)</f>
        <v/>
      </c>
      <c r="E53">
        <f>N(AT26)</f>
        <v/>
      </c>
      <c r="F53">
        <f>IF(B53="",0,IF(C53=1,MAX(0,D53-E53),$T$31))</f>
        <v/>
      </c>
      <c r="G53">
        <f>N(AU24)</f>
        <v/>
      </c>
      <c r="H53">
        <f>SUM(AU18:AU23)</f>
        <v/>
      </c>
      <c r="I53">
        <f>SUM(AU21:AU23)</f>
        <v/>
      </c>
      <c r="J53">
        <f>N(AU23)</f>
        <v/>
      </c>
      <c r="K53">
        <f>N(AU22)</f>
        <v/>
      </c>
      <c r="L53">
        <f>N(AU21)</f>
        <v/>
      </c>
      <c r="M53">
        <f>N(AU20)</f>
        <v/>
      </c>
      <c r="N53">
        <f>N(AU19)</f>
        <v/>
      </c>
      <c r="O53">
        <f>N(AU18)</f>
        <v/>
      </c>
      <c r="P53">
        <f>F53*10^12+G53*10^10+H53*10^8+I53*10^6+J53*100000+K53*10000+L53*1000+M53*100+N53*10+O53</f>
        <v/>
      </c>
      <c r="Q53">
        <f>IF(B53="","",1+SUMPRODUCT(($B$32:$B$63&lt;&gt;"")*($P$32:$P$63&gt;P53)))</f>
        <v/>
      </c>
    </row>
    <row r="54" hidden="1">
      <c r="A54" t="n">
        <v>23</v>
      </c>
      <c r="B54">
        <f>IF(AV$2="","",AV$2)</f>
        <v/>
      </c>
      <c r="C54">
        <f>IF(B54="",0,IF(COUNT(AV5:AV13,AV15:AV23)&gt;0,1,0))</f>
        <v/>
      </c>
      <c r="D54">
        <f>N(AW25)</f>
        <v/>
      </c>
      <c r="E54">
        <f>N(AV26)</f>
        <v/>
      </c>
      <c r="F54">
        <f>IF(B54="",0,IF(C54=1,MAX(0,D54-E54),$T$31))</f>
        <v/>
      </c>
      <c r="G54">
        <f>N(AW24)</f>
        <v/>
      </c>
      <c r="H54">
        <f>SUM(AW18:AW23)</f>
        <v/>
      </c>
      <c r="I54">
        <f>SUM(AW21:AW23)</f>
        <v/>
      </c>
      <c r="J54">
        <f>N(AW23)</f>
        <v/>
      </c>
      <c r="K54">
        <f>N(AW22)</f>
        <v/>
      </c>
      <c r="L54">
        <f>N(AW21)</f>
        <v/>
      </c>
      <c r="M54">
        <f>N(AW20)</f>
        <v/>
      </c>
      <c r="N54">
        <f>N(AW19)</f>
        <v/>
      </c>
      <c r="O54">
        <f>N(AW18)</f>
        <v/>
      </c>
      <c r="P54">
        <f>F54*10^12+G54*10^10+H54*10^8+I54*10^6+J54*100000+K54*10000+L54*1000+M54*100+N54*10+O54</f>
        <v/>
      </c>
      <c r="Q54">
        <f>IF(B54="","",1+SUMPRODUCT(($B$32:$B$63&lt;&gt;"")*($P$32:$P$63&gt;P54)))</f>
        <v/>
      </c>
    </row>
    <row r="55" hidden="1">
      <c r="A55" t="n">
        <v>24</v>
      </c>
      <c r="B55">
        <f>IF(AX$2="","",AX$2)</f>
        <v/>
      </c>
      <c r="C55">
        <f>IF(B55="",0,IF(COUNT(AX5:AX13,AX15:AX23)&gt;0,1,0))</f>
        <v/>
      </c>
      <c r="D55">
        <f>N(AY25)</f>
        <v/>
      </c>
      <c r="E55">
        <f>N(AX26)</f>
        <v/>
      </c>
      <c r="F55">
        <f>IF(B55="",0,IF(C55=1,MAX(0,D55-E55),$T$31))</f>
        <v/>
      </c>
      <c r="G55">
        <f>N(AY24)</f>
        <v/>
      </c>
      <c r="H55">
        <f>SUM(AY18:AY23)</f>
        <v/>
      </c>
      <c r="I55">
        <f>SUM(AY21:AY23)</f>
        <v/>
      </c>
      <c r="J55">
        <f>N(AY23)</f>
        <v/>
      </c>
      <c r="K55">
        <f>N(AY22)</f>
        <v/>
      </c>
      <c r="L55">
        <f>N(AY21)</f>
        <v/>
      </c>
      <c r="M55">
        <f>N(AY20)</f>
        <v/>
      </c>
      <c r="N55">
        <f>N(AY19)</f>
        <v/>
      </c>
      <c r="O55">
        <f>N(AY18)</f>
        <v/>
      </c>
      <c r="P55">
        <f>F55*10^12+G55*10^10+H55*10^8+I55*10^6+J55*100000+K55*10000+L55*1000+M55*100+N55*10+O55</f>
        <v/>
      </c>
      <c r="Q55">
        <f>IF(B55="","",1+SUMPRODUCT(($B$32:$B$63&lt;&gt;"")*($P$32:$P$63&gt;P55)))</f>
        <v/>
      </c>
    </row>
    <row r="56" hidden="1">
      <c r="A56" t="n">
        <v>25</v>
      </c>
      <c r="B56">
        <f>IF(AZ$2="","",AZ$2)</f>
        <v/>
      </c>
      <c r="C56">
        <f>IF(B56="",0,IF(COUNT(AZ5:AZ13,AZ15:AZ23)&gt;0,1,0))</f>
        <v/>
      </c>
      <c r="D56">
        <f>N(BA25)</f>
        <v/>
      </c>
      <c r="E56">
        <f>N(AZ26)</f>
        <v/>
      </c>
      <c r="F56">
        <f>IF(B56="",0,IF(C56=1,MAX(0,D56-E56),$T$31))</f>
        <v/>
      </c>
      <c r="G56">
        <f>N(BA24)</f>
        <v/>
      </c>
      <c r="H56">
        <f>SUM(BA18:BA23)</f>
        <v/>
      </c>
      <c r="I56">
        <f>SUM(BA21:BA23)</f>
        <v/>
      </c>
      <c r="J56">
        <f>N(BA23)</f>
        <v/>
      </c>
      <c r="K56">
        <f>N(BA22)</f>
        <v/>
      </c>
      <c r="L56">
        <f>N(BA21)</f>
        <v/>
      </c>
      <c r="M56">
        <f>N(BA20)</f>
        <v/>
      </c>
      <c r="N56">
        <f>N(BA19)</f>
        <v/>
      </c>
      <c r="O56">
        <f>N(BA18)</f>
        <v/>
      </c>
      <c r="P56">
        <f>F56*10^12+G56*10^10+H56*10^8+I56*10^6+J56*100000+K56*10000+L56*1000+M56*100+N56*10+O56</f>
        <v/>
      </c>
      <c r="Q56">
        <f>IF(B56="","",1+SUMPRODUCT(($B$32:$B$63&lt;&gt;"")*($P$32:$P$63&gt;P56)))</f>
        <v/>
      </c>
    </row>
    <row r="57" hidden="1">
      <c r="A57" t="n">
        <v>26</v>
      </c>
      <c r="B57">
        <f>IF(BB$2="","",BB$2)</f>
        <v/>
      </c>
      <c r="C57">
        <f>IF(B57="",0,IF(COUNT(BB5:BB13,BB15:BB23)&gt;0,1,0))</f>
        <v/>
      </c>
      <c r="D57">
        <f>N(BC25)</f>
        <v/>
      </c>
      <c r="E57">
        <f>N(BB26)</f>
        <v/>
      </c>
      <c r="F57">
        <f>IF(B57="",0,IF(C57=1,MAX(0,D57-E57),$T$31))</f>
        <v/>
      </c>
      <c r="G57">
        <f>N(BC24)</f>
        <v/>
      </c>
      <c r="H57">
        <f>SUM(BC18:BC23)</f>
        <v/>
      </c>
      <c r="I57">
        <f>SUM(BC21:BC23)</f>
        <v/>
      </c>
      <c r="J57">
        <f>N(BC23)</f>
        <v/>
      </c>
      <c r="K57">
        <f>N(BC22)</f>
        <v/>
      </c>
      <c r="L57">
        <f>N(BC21)</f>
        <v/>
      </c>
      <c r="M57">
        <f>N(BC20)</f>
        <v/>
      </c>
      <c r="N57">
        <f>N(BC19)</f>
        <v/>
      </c>
      <c r="O57">
        <f>N(BC18)</f>
        <v/>
      </c>
      <c r="P57">
        <f>F57*10^12+G57*10^10+H57*10^8+I57*10^6+J57*100000+K57*10000+L57*1000+M57*100+N57*10+O57</f>
        <v/>
      </c>
      <c r="Q57">
        <f>IF(B57="","",1+SUMPRODUCT(($B$32:$B$63&lt;&gt;"")*($P$32:$P$63&gt;P57)))</f>
        <v/>
      </c>
    </row>
    <row r="58" hidden="1">
      <c r="A58" t="n">
        <v>27</v>
      </c>
      <c r="B58">
        <f>IF(BD$2="","",BD$2)</f>
        <v/>
      </c>
      <c r="C58">
        <f>IF(B58="",0,IF(COUNT(BD5:BD13,BD15:BD23)&gt;0,1,0))</f>
        <v/>
      </c>
      <c r="D58">
        <f>N(BE25)</f>
        <v/>
      </c>
      <c r="E58">
        <f>N(BD26)</f>
        <v/>
      </c>
      <c r="F58">
        <f>IF(B58="",0,IF(C58=1,MAX(0,D58-E58),$T$31))</f>
        <v/>
      </c>
      <c r="G58">
        <f>N(BE24)</f>
        <v/>
      </c>
      <c r="H58">
        <f>SUM(BE18:BE23)</f>
        <v/>
      </c>
      <c r="I58">
        <f>SUM(BE21:BE23)</f>
        <v/>
      </c>
      <c r="J58">
        <f>N(BE23)</f>
        <v/>
      </c>
      <c r="K58">
        <f>N(BE22)</f>
        <v/>
      </c>
      <c r="L58">
        <f>N(BE21)</f>
        <v/>
      </c>
      <c r="M58">
        <f>N(BE20)</f>
        <v/>
      </c>
      <c r="N58">
        <f>N(BE19)</f>
        <v/>
      </c>
      <c r="O58">
        <f>N(BE18)</f>
        <v/>
      </c>
      <c r="P58">
        <f>F58*10^12+G58*10^10+H58*10^8+I58*10^6+J58*100000+K58*10000+L58*1000+M58*100+N58*10+O58</f>
        <v/>
      </c>
      <c r="Q58">
        <f>IF(B58="","",1+SUMPRODUCT(($B$32:$B$63&lt;&gt;"")*($P$32:$P$63&gt;P58)))</f>
        <v/>
      </c>
    </row>
    <row r="59" hidden="1">
      <c r="A59" t="n">
        <v>28</v>
      </c>
      <c r="B59">
        <f>IF(BF$2="","",BF$2)</f>
        <v/>
      </c>
      <c r="C59">
        <f>IF(B59="",0,IF(COUNT(BF5:BF13,BF15:BF23)&gt;0,1,0))</f>
        <v/>
      </c>
      <c r="D59">
        <f>N(BG25)</f>
        <v/>
      </c>
      <c r="E59">
        <f>N(BF26)</f>
        <v/>
      </c>
      <c r="F59">
        <f>IF(B59="",0,IF(C59=1,MAX(0,D59-E59),$T$31))</f>
        <v/>
      </c>
      <c r="G59">
        <f>N(BG24)</f>
        <v/>
      </c>
      <c r="H59">
        <f>SUM(BG18:BG23)</f>
        <v/>
      </c>
      <c r="I59">
        <f>SUM(BG21:BG23)</f>
        <v/>
      </c>
      <c r="J59">
        <f>N(BG23)</f>
        <v/>
      </c>
      <c r="K59">
        <f>N(BG22)</f>
        <v/>
      </c>
      <c r="L59">
        <f>N(BG21)</f>
        <v/>
      </c>
      <c r="M59">
        <f>N(BG20)</f>
        <v/>
      </c>
      <c r="N59">
        <f>N(BG19)</f>
        <v/>
      </c>
      <c r="O59">
        <f>N(BG18)</f>
        <v/>
      </c>
      <c r="P59">
        <f>F59*10^12+G59*10^10+H59*10^8+I59*10^6+J59*100000+K59*10000+L59*1000+M59*100+N59*10+O59</f>
        <v/>
      </c>
      <c r="Q59">
        <f>IF(B59="","",1+SUMPRODUCT(($B$32:$B$63&lt;&gt;"")*($P$32:$P$63&gt;P59)))</f>
        <v/>
      </c>
    </row>
    <row r="60" hidden="1">
      <c r="A60" t="n">
        <v>29</v>
      </c>
      <c r="B60">
        <f>IF(BH$2="","",BH$2)</f>
        <v/>
      </c>
      <c r="C60">
        <f>IF(B60="",0,IF(COUNT(BH5:BH13,BH15:BH23)&gt;0,1,0))</f>
        <v/>
      </c>
      <c r="D60">
        <f>N(BI25)</f>
        <v/>
      </c>
      <c r="E60">
        <f>N(BH26)</f>
        <v/>
      </c>
      <c r="F60">
        <f>IF(B60="",0,IF(C60=1,MAX(0,D60-E60),$T$31))</f>
        <v/>
      </c>
      <c r="G60">
        <f>N(BI24)</f>
        <v/>
      </c>
      <c r="H60">
        <f>SUM(BI18:BI23)</f>
        <v/>
      </c>
      <c r="I60">
        <f>SUM(BI21:BI23)</f>
        <v/>
      </c>
      <c r="J60">
        <f>N(BI23)</f>
        <v/>
      </c>
      <c r="K60">
        <f>N(BI22)</f>
        <v/>
      </c>
      <c r="L60">
        <f>N(BI21)</f>
        <v/>
      </c>
      <c r="M60">
        <f>N(BI20)</f>
        <v/>
      </c>
      <c r="N60">
        <f>N(BI19)</f>
        <v/>
      </c>
      <c r="O60">
        <f>N(BI18)</f>
        <v/>
      </c>
      <c r="P60">
        <f>F60*10^12+G60*10^10+H60*10^8+I60*10^6+J60*100000+K60*10000+L60*1000+M60*100+N60*10+O60</f>
        <v/>
      </c>
      <c r="Q60">
        <f>IF(B60="","",1+SUMPRODUCT(($B$32:$B$63&lt;&gt;"")*($P$32:$P$63&gt;P60)))</f>
        <v/>
      </c>
    </row>
    <row r="61" hidden="1">
      <c r="A61" t="n">
        <v>30</v>
      </c>
      <c r="B61">
        <f>IF(BJ$2="","",BJ$2)</f>
        <v/>
      </c>
      <c r="C61">
        <f>IF(B61="",0,IF(COUNT(BJ5:BJ13,BJ15:BJ23)&gt;0,1,0))</f>
        <v/>
      </c>
      <c r="D61">
        <f>N(BK25)</f>
        <v/>
      </c>
      <c r="E61">
        <f>N(BJ26)</f>
        <v/>
      </c>
      <c r="F61">
        <f>IF(B61="",0,IF(C61=1,MAX(0,D61-E61),$T$31))</f>
        <v/>
      </c>
      <c r="G61">
        <f>N(BK24)</f>
        <v/>
      </c>
      <c r="H61">
        <f>SUM(BK18:BK23)</f>
        <v/>
      </c>
      <c r="I61">
        <f>SUM(BK21:BK23)</f>
        <v/>
      </c>
      <c r="J61">
        <f>N(BK23)</f>
        <v/>
      </c>
      <c r="K61">
        <f>N(BK22)</f>
        <v/>
      </c>
      <c r="L61">
        <f>N(BK21)</f>
        <v/>
      </c>
      <c r="M61">
        <f>N(BK20)</f>
        <v/>
      </c>
      <c r="N61">
        <f>N(BK19)</f>
        <v/>
      </c>
      <c r="O61">
        <f>N(BK18)</f>
        <v/>
      </c>
      <c r="P61">
        <f>F61*10^12+G61*10^10+H61*10^8+I61*10^6+J61*100000+K61*10000+L61*1000+M61*100+N61*10+O61</f>
        <v/>
      </c>
      <c r="Q61">
        <f>IF(B61="","",1+SUMPRODUCT(($B$32:$B$63&lt;&gt;"")*($P$32:$P$63&gt;P61)))</f>
        <v/>
      </c>
    </row>
    <row r="62" hidden="1">
      <c r="A62" t="n">
        <v>31</v>
      </c>
      <c r="B62">
        <f>IF(BL$2="","",BL$2)</f>
        <v/>
      </c>
      <c r="C62">
        <f>IF(B62="",0,IF(COUNT(BL5:BL13,BL15:BL23)&gt;0,1,0))</f>
        <v/>
      </c>
      <c r="D62">
        <f>N(BM25)</f>
        <v/>
      </c>
      <c r="E62">
        <f>N(BL26)</f>
        <v/>
      </c>
      <c r="F62">
        <f>IF(B62="",0,IF(C62=1,MAX(0,D62-E62),$T$31))</f>
        <v/>
      </c>
      <c r="G62">
        <f>N(BM24)</f>
        <v/>
      </c>
      <c r="H62">
        <f>SUM(BM18:BM23)</f>
        <v/>
      </c>
      <c r="I62">
        <f>SUM(BM21:BM23)</f>
        <v/>
      </c>
      <c r="J62">
        <f>N(BM23)</f>
        <v/>
      </c>
      <c r="K62">
        <f>N(BM22)</f>
        <v/>
      </c>
      <c r="L62">
        <f>N(BM21)</f>
        <v/>
      </c>
      <c r="M62">
        <f>N(BM20)</f>
        <v/>
      </c>
      <c r="N62">
        <f>N(BM19)</f>
        <v/>
      </c>
      <c r="O62">
        <f>N(BM18)</f>
        <v/>
      </c>
      <c r="P62">
        <f>F62*10^12+G62*10^10+H62*10^8+I62*10^6+J62*100000+K62*10000+L62*1000+M62*100+N62*10+O62</f>
        <v/>
      </c>
      <c r="Q62">
        <f>IF(B62="","",1+SUMPRODUCT(($B$32:$B$63&lt;&gt;"")*($P$32:$P$63&gt;P62)))</f>
        <v/>
      </c>
    </row>
    <row r="63" hidden="1">
      <c r="A63" t="n">
        <v>32</v>
      </c>
      <c r="B63">
        <f>IF(BN$2="","",BN$2)</f>
        <v/>
      </c>
      <c r="C63">
        <f>IF(B63="",0,IF(COUNT(BN5:BN13,BN15:BN23)&gt;0,1,0))</f>
        <v/>
      </c>
      <c r="D63">
        <f>N(BO25)</f>
        <v/>
      </c>
      <c r="E63">
        <f>N(BN26)</f>
        <v/>
      </c>
      <c r="F63">
        <f>IF(B63="",0,IF(C63=1,MAX(0,D63-E63),$T$31))</f>
        <v/>
      </c>
      <c r="G63">
        <f>N(BO24)</f>
        <v/>
      </c>
      <c r="H63">
        <f>SUM(BO18:BO23)</f>
        <v/>
      </c>
      <c r="I63">
        <f>SUM(BO21:BO23)</f>
        <v/>
      </c>
      <c r="J63">
        <f>N(BO23)</f>
        <v/>
      </c>
      <c r="K63">
        <f>N(BO22)</f>
        <v/>
      </c>
      <c r="L63">
        <f>N(BO21)</f>
        <v/>
      </c>
      <c r="M63">
        <f>N(BO20)</f>
        <v/>
      </c>
      <c r="N63">
        <f>N(BO19)</f>
        <v/>
      </c>
      <c r="O63">
        <f>N(BO18)</f>
        <v/>
      </c>
      <c r="P63">
        <f>F63*10^12+G63*10^10+H63*10^8+I63*10^6+J63*100000+K63*10000+L63*1000+M63*100+N63*10+O63</f>
        <v/>
      </c>
      <c r="Q63">
        <f>IF(B63="","",1+SUMPRODUCT(($B$32:$B$63&lt;&gt;"")*($P$32:$P$63&gt;P63)))</f>
        <v/>
      </c>
    </row>
  </sheetData>
  <sheetProtection selectLockedCells="0" selectUnlockedCells="0" sheet="1" objects="0" insertRows="1" insertHyperlinks="1" autoFilter="1" scenarios="0" formatColumns="1" deleteColumns="1" insertColumns="1" pivotTables="1" deleteRows="1" formatCells="1" formatRows="1" sort="1"/>
  <mergeCells count="161">
    <mergeCell ref="L2:M2"/>
    <mergeCell ref="AD3:AE3"/>
    <mergeCell ref="V2:W2"/>
    <mergeCell ref="AN3:AO3"/>
    <mergeCell ref="F29:G29"/>
    <mergeCell ref="X2:Y2"/>
    <mergeCell ref="AP3:AQ3"/>
    <mergeCell ref="AJ2:AK2"/>
    <mergeCell ref="R28:S28"/>
    <mergeCell ref="AZ28:BA28"/>
    <mergeCell ref="AL2:AM2"/>
    <mergeCell ref="J28:K28"/>
    <mergeCell ref="BB28:BC28"/>
    <mergeCell ref="L28:M28"/>
    <mergeCell ref="AV27:AW27"/>
    <mergeCell ref="BL28:BM28"/>
    <mergeCell ref="AX27:AY27"/>
    <mergeCell ref="BN28:BO28"/>
    <mergeCell ref="L3:M3"/>
    <mergeCell ref="AT3:AU3"/>
    <mergeCell ref="BD3:BE3"/>
    <mergeCell ref="N3:O3"/>
    <mergeCell ref="AV3:AW3"/>
    <mergeCell ref="BN3:BO3"/>
    <mergeCell ref="V28:W28"/>
    <mergeCell ref="AN29:AO29"/>
    <mergeCell ref="X28:Y28"/>
    <mergeCell ref="AP29:AQ29"/>
    <mergeCell ref="BH2:BI2"/>
    <mergeCell ref="BJ2:BK2"/>
    <mergeCell ref="AJ28:AK28"/>
    <mergeCell ref="BB29:BC29"/>
    <mergeCell ref="AL28:AM28"/>
    <mergeCell ref="BD29:BE29"/>
    <mergeCell ref="L29:M29"/>
    <mergeCell ref="N29:O29"/>
    <mergeCell ref="BN29:BO29"/>
    <mergeCell ref="X29:Y29"/>
    <mergeCell ref="BF29:BG29"/>
    <mergeCell ref="Z29:AA29"/>
    <mergeCell ref="BH29:BI29"/>
    <mergeCell ref="T27:U27"/>
    <mergeCell ref="Z27:AA27"/>
    <mergeCell ref="AR27:AS27"/>
    <mergeCell ref="AJ27:AK27"/>
    <mergeCell ref="AT27:AU27"/>
    <mergeCell ref="AL27:AM27"/>
    <mergeCell ref="BF27:BG27"/>
    <mergeCell ref="D2:E2"/>
    <mergeCell ref="BD2:BE2"/>
    <mergeCell ref="N2:O2"/>
    <mergeCell ref="AD28:AE28"/>
    <mergeCell ref="AV2:AW2"/>
    <mergeCell ref="P2:Q2"/>
    <mergeCell ref="AX2:AY2"/>
    <mergeCell ref="J27:K27"/>
    <mergeCell ref="BJ27:BK27"/>
    <mergeCell ref="AR28:AS28"/>
    <mergeCell ref="BL27:BM27"/>
    <mergeCell ref="X3:Y3"/>
    <mergeCell ref="Z3:AA3"/>
    <mergeCell ref="BD28:BE28"/>
    <mergeCell ref="AJ3:AK3"/>
    <mergeCell ref="T2:U2"/>
    <mergeCell ref="AL3:AM3"/>
    <mergeCell ref="AF2:AG2"/>
    <mergeCell ref="N28:O28"/>
    <mergeCell ref="AV28:AW28"/>
    <mergeCell ref="F28:G28"/>
    <mergeCell ref="P28:Q28"/>
    <mergeCell ref="AX28:AY28"/>
    <mergeCell ref="H28:I28"/>
    <mergeCell ref="BH28:BI28"/>
    <mergeCell ref="BJ28:BK28"/>
    <mergeCell ref="H3:I3"/>
    <mergeCell ref="J3:K3"/>
    <mergeCell ref="B1:K1"/>
    <mergeCell ref="BJ3:BK3"/>
    <mergeCell ref="BL3:BM3"/>
    <mergeCell ref="AJ29:AK29"/>
    <mergeCell ref="D29:E29"/>
    <mergeCell ref="AL29:AM29"/>
    <mergeCell ref="AF28:AG28"/>
    <mergeCell ref="AX29:AY29"/>
    <mergeCell ref="AH28:AI28"/>
    <mergeCell ref="AZ29:BA29"/>
    <mergeCell ref="J29:K29"/>
    <mergeCell ref="T29:U29"/>
    <mergeCell ref="BN27:BO27"/>
    <mergeCell ref="D27:E27"/>
    <mergeCell ref="P27:Q27"/>
    <mergeCell ref="R27:S27"/>
    <mergeCell ref="AB27:AC27"/>
    <mergeCell ref="F2:G2"/>
    <mergeCell ref="AD27:AE27"/>
    <mergeCell ref="H2:I2"/>
    <mergeCell ref="Z2:AA2"/>
    <mergeCell ref="AB2:AC2"/>
    <mergeCell ref="AD2:AE2"/>
    <mergeCell ref="V27:W27"/>
    <mergeCell ref="D28:E28"/>
    <mergeCell ref="AN27:AO27"/>
    <mergeCell ref="AN2:AO2"/>
    <mergeCell ref="AP27:AQ27"/>
    <mergeCell ref="AP2:AQ2"/>
    <mergeCell ref="AH27:AI27"/>
    <mergeCell ref="D3:E3"/>
    <mergeCell ref="AZ27:BA27"/>
    <mergeCell ref="BB27:BC27"/>
    <mergeCell ref="BD27:BE27"/>
    <mergeCell ref="P3:Q3"/>
    <mergeCell ref="AX3:AY3"/>
    <mergeCell ref="AH2:AI2"/>
    <mergeCell ref="AZ3:BA3"/>
    <mergeCell ref="J2:K2"/>
    <mergeCell ref="Z28:AA28"/>
    <mergeCell ref="AR2:AS2"/>
    <mergeCell ref="AR29:AS29"/>
    <mergeCell ref="AB28:AC28"/>
    <mergeCell ref="AT2:AU2"/>
    <mergeCell ref="BL2:BM2"/>
    <mergeCell ref="T28:U28"/>
    <mergeCell ref="BN2:BO2"/>
    <mergeCell ref="BF2:BG2"/>
    <mergeCell ref="AN28:AO28"/>
    <mergeCell ref="BH27:BI27"/>
    <mergeCell ref="T3:U3"/>
    <mergeCell ref="AP28:AQ28"/>
    <mergeCell ref="V3:W3"/>
    <mergeCell ref="AF3:AG3"/>
    <mergeCell ref="AH3:AI3"/>
    <mergeCell ref="P29:Q29"/>
    <mergeCell ref="H29:I29"/>
    <mergeCell ref="R29:S29"/>
    <mergeCell ref="BB3:BC3"/>
    <mergeCell ref="AB29:AC29"/>
    <mergeCell ref="BJ29:BK29"/>
    <mergeCell ref="AT28:AU28"/>
    <mergeCell ref="AD29:AE29"/>
    <mergeCell ref="BL29:BM29"/>
    <mergeCell ref="BF28:BG28"/>
    <mergeCell ref="F3:G3"/>
    <mergeCell ref="V29:W29"/>
    <mergeCell ref="BF3:BG3"/>
    <mergeCell ref="BH3:BI3"/>
    <mergeCell ref="AF29:AG29"/>
    <mergeCell ref="AH29:AI29"/>
    <mergeCell ref="AT29:AU29"/>
    <mergeCell ref="AV29:AW29"/>
    <mergeCell ref="R3:S3"/>
    <mergeCell ref="F27:G27"/>
    <mergeCell ref="H27:I27"/>
    <mergeCell ref="R2:S2"/>
    <mergeCell ref="AZ2:BA2"/>
    <mergeCell ref="BB2:BC2"/>
    <mergeCell ref="L27:M27"/>
    <mergeCell ref="AR3:AS3"/>
    <mergeCell ref="N27:O27"/>
    <mergeCell ref="AF27:AG27"/>
    <mergeCell ref="X27:Y27"/>
    <mergeCell ref="AB3:AC3"/>
  </mergeCells>
  <dataValidations count="2">
    <dataValidation sqref="D5:D13 D15:D23 F5:F13 F15:F23 H5:H13 H15:H23 J5:J13 J15:J23 L5:L13 L15:L23 N5:N13 N15:N23 P5:P13 P15:P23 R5:R13 R15:R23 T5:T13 T15:T23 V5:V13 V15:V23 X5:X13 X15:X23 Z5:Z13 Z15:Z23 AB5:AB13 AB15:AB23 AD5:AD13 AD15:AD23 AF5:AF13 AF15:AF23 AH5:AH13 AH15:AH23 AJ5:AJ13 AJ15:AJ23 AL5:AL13 AL15:AL23 AN5:AN13 AN15:AN23 AP5:AP13 AP15:AP23 AR5:AR13 AR15:AR23 AT5:AT13 AT15:AT23 AV5:AV13 AV15:AV23 AX5:AX13 AX15:AX23 AZ5:AZ13 AZ15:AZ23 BB5:BB13 BB15:BB23 BD5:BD13 BD15:BD23 BF5:BF13 BF15:BF23 BH5:BH13 BH15:BH23 BJ5:BJ13 BJ15:BJ23 BL5:BL13 BL15:BL23 BN5:BN13 BN15:BN23" showDropDown="0" showInputMessage="0" showErrorMessage="1" allowBlank="1" errorTitle="Invalid score" error="Gross score must be a whole number 1-15 (0 or blank = no score / wipe)." type="whole" operator="between">
      <formula1>0</formula1>
      <formula2>15</formula2>
    </dataValidation>
    <dataValidation sqref="D26 F26 H26 J26 L26 N26 P26 R26 T26 V26 X26 Z26 AB26 AD26 AF26 AH26 AJ26 AL26 AN26 AP26 AR26 AT26 AV26 AX26 AZ26 BB26 BD26 BF26 BH26 BJ26 BL26 BN26" showDropDown="0" showInputMessage="0" showErrorMessage="1" allowBlank="1" errorTitle="Invalid penalty" error="Card penalty must be 0, 1 or 2 points."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2026-07-06T16:07:39Z</dcterms:created>
  <dcterms:modified xsi:type="dcterms:W3CDTF">2026-07-06T16:07:40Z</dcterms:modified>
</cp:coreProperties>
</file>