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mc:AlternateContent xmlns:mc="http://schemas.openxmlformats.org/markup-compatibility/2006">
    <mc:Choice Requires="x15">
      <x15ac:absPath xmlns:x15ac="http://schemas.microsoft.com/office/spreadsheetml/2010/11/ac" url="C:\Users\l.tompkins\AppData\Local\Microsoft\Windows\INetCache\Content.Outlook\Y3F6QENC\"/>
    </mc:Choice>
  </mc:AlternateContent>
  <xr:revisionPtr revIDLastSave="387" documentId="8_{05F699D2-DF13-4411-967E-BA0C32891842}" xr6:coauthVersionLast="47" xr6:coauthVersionMax="47" xr10:uidLastSave="{0D57B40A-7CF2-4BC6-A589-E2D6FC83CDEE}"/>
  <bookViews>
    <workbookView xWindow="-120" yWindow="-120" windowWidth="29040" windowHeight="15720" firstSheet="2" activeTab="2" xr2:uid="{5D0C0AC0-71CC-4942-8A8E-4CE3531656A4}"/>
  </bookViews>
  <sheets>
    <sheet name="Leaderboard" sheetId="7" r:id="rId1"/>
    <sheet name="Handicapping" sheetId="5" r:id="rId2"/>
    <sheet name="Daily Scoring" sheetId="6" r:id="rId3"/>
    <sheet name="Scoring V1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24" i="6" l="1"/>
  <c r="GB23" i="6"/>
  <c r="FZ23" i="6"/>
  <c r="FX23" i="6"/>
  <c r="FV23" i="6"/>
  <c r="FT23" i="6"/>
  <c r="FR23" i="6"/>
  <c r="FP23" i="6"/>
  <c r="FN23" i="6"/>
  <c r="FL23" i="6"/>
  <c r="FJ23" i="6"/>
  <c r="FH23" i="6"/>
  <c r="FF23" i="6"/>
  <c r="FD23" i="6"/>
  <c r="FB23" i="6"/>
  <c r="EZ23" i="6"/>
  <c r="EX23" i="6"/>
  <c r="EV23" i="6"/>
  <c r="GB22" i="6"/>
  <c r="FZ22" i="6"/>
  <c r="FX22" i="6"/>
  <c r="FV22" i="6"/>
  <c r="FT22" i="6"/>
  <c r="FR22" i="6"/>
  <c r="FP22" i="6"/>
  <c r="FN22" i="6"/>
  <c r="FL22" i="6"/>
  <c r="FJ22" i="6"/>
  <c r="FH22" i="6"/>
  <c r="FF22" i="6"/>
  <c r="FD22" i="6"/>
  <c r="FB22" i="6"/>
  <c r="EZ22" i="6"/>
  <c r="EX22" i="6"/>
  <c r="EV22" i="6"/>
  <c r="GB21" i="6"/>
  <c r="FZ21" i="6"/>
  <c r="FX21" i="6"/>
  <c r="FV21" i="6"/>
  <c r="FT21" i="6"/>
  <c r="FR21" i="6"/>
  <c r="FP21" i="6"/>
  <c r="FN21" i="6"/>
  <c r="FL21" i="6"/>
  <c r="FJ21" i="6"/>
  <c r="FH21" i="6"/>
  <c r="FF21" i="6"/>
  <c r="FD21" i="6"/>
  <c r="FB21" i="6"/>
  <c r="EZ21" i="6"/>
  <c r="EX21" i="6"/>
  <c r="EV21" i="6"/>
  <c r="GB20" i="6"/>
  <c r="FZ20" i="6"/>
  <c r="FX20" i="6"/>
  <c r="FV20" i="6"/>
  <c r="FT20" i="6"/>
  <c r="FR20" i="6"/>
  <c r="FP20" i="6"/>
  <c r="FN20" i="6"/>
  <c r="FL20" i="6"/>
  <c r="FJ20" i="6"/>
  <c r="FH20" i="6"/>
  <c r="FF20" i="6"/>
  <c r="FD20" i="6"/>
  <c r="FB20" i="6"/>
  <c r="EZ20" i="6"/>
  <c r="EX20" i="6"/>
  <c r="EV20" i="6"/>
  <c r="GB19" i="6"/>
  <c r="FZ19" i="6"/>
  <c r="FX19" i="6"/>
  <c r="FV19" i="6"/>
  <c r="FT19" i="6"/>
  <c r="FR19" i="6"/>
  <c r="FP19" i="6"/>
  <c r="FN19" i="6"/>
  <c r="FL19" i="6"/>
  <c r="FJ19" i="6"/>
  <c r="FH19" i="6"/>
  <c r="FF19" i="6"/>
  <c r="FD19" i="6"/>
  <c r="FB19" i="6"/>
  <c r="EZ19" i="6"/>
  <c r="EX19" i="6"/>
  <c r="EV19" i="6"/>
  <c r="GB18" i="6"/>
  <c r="FZ18" i="6"/>
  <c r="FX18" i="6"/>
  <c r="FV18" i="6"/>
  <c r="FT18" i="6"/>
  <c r="FR18" i="6"/>
  <c r="FP18" i="6"/>
  <c r="FN18" i="6"/>
  <c r="FL18" i="6"/>
  <c r="FJ18" i="6"/>
  <c r="FH18" i="6"/>
  <c r="FF18" i="6"/>
  <c r="FD18" i="6"/>
  <c r="FB18" i="6"/>
  <c r="EZ18" i="6"/>
  <c r="EX18" i="6"/>
  <c r="EV18" i="6"/>
  <c r="GB17" i="6"/>
  <c r="FZ17" i="6"/>
  <c r="FX17" i="6"/>
  <c r="FV17" i="6"/>
  <c r="FT17" i="6"/>
  <c r="FR17" i="6"/>
  <c r="FP17" i="6"/>
  <c r="FN17" i="6"/>
  <c r="FL17" i="6"/>
  <c r="FJ17" i="6"/>
  <c r="FH17" i="6"/>
  <c r="FF17" i="6"/>
  <c r="FD17" i="6"/>
  <c r="FB17" i="6"/>
  <c r="EZ17" i="6"/>
  <c r="EX17" i="6"/>
  <c r="EV17" i="6"/>
  <c r="GB16" i="6"/>
  <c r="FZ16" i="6"/>
  <c r="FX16" i="6"/>
  <c r="FV16" i="6"/>
  <c r="FT16" i="6"/>
  <c r="FR16" i="6"/>
  <c r="FP16" i="6"/>
  <c r="FN16" i="6"/>
  <c r="FL16" i="6"/>
  <c r="FJ16" i="6"/>
  <c r="FH16" i="6"/>
  <c r="FF16" i="6"/>
  <c r="FD16" i="6"/>
  <c r="FB16" i="6"/>
  <c r="EZ16" i="6"/>
  <c r="EX16" i="6"/>
  <c r="EV16" i="6"/>
  <c r="GB15" i="6"/>
  <c r="GB24" i="6" s="1"/>
  <c r="FZ15" i="6"/>
  <c r="FZ24" i="6" s="1"/>
  <c r="FX15" i="6"/>
  <c r="FX24" i="6" s="1"/>
  <c r="FV15" i="6"/>
  <c r="FV24" i="6" s="1"/>
  <c r="FT15" i="6"/>
  <c r="FT24" i="6" s="1"/>
  <c r="FR15" i="6"/>
  <c r="FR24" i="6" s="1"/>
  <c r="FP15" i="6"/>
  <c r="FP24" i="6" s="1"/>
  <c r="FN15" i="6"/>
  <c r="FN24" i="6" s="1"/>
  <c r="FL15" i="6"/>
  <c r="FL24" i="6" s="1"/>
  <c r="FJ15" i="6"/>
  <c r="FJ24" i="6" s="1"/>
  <c r="FH15" i="6"/>
  <c r="FH24" i="6" s="1"/>
  <c r="FF15" i="6"/>
  <c r="FF24" i="6" s="1"/>
  <c r="FD15" i="6"/>
  <c r="FD24" i="6" s="1"/>
  <c r="FB15" i="6"/>
  <c r="FB24" i="6" s="1"/>
  <c r="EZ15" i="6"/>
  <c r="EZ24" i="6" s="1"/>
  <c r="EX15" i="6"/>
  <c r="EX24" i="6" s="1"/>
  <c r="EV15" i="6"/>
  <c r="ET14" i="6"/>
  <c r="GB13" i="6"/>
  <c r="FZ13" i="6"/>
  <c r="FX13" i="6"/>
  <c r="FV13" i="6"/>
  <c r="FT13" i="6"/>
  <c r="FR13" i="6"/>
  <c r="FP13" i="6"/>
  <c r="FN13" i="6"/>
  <c r="FL13" i="6"/>
  <c r="FJ13" i="6"/>
  <c r="FH13" i="6"/>
  <c r="FF13" i="6"/>
  <c r="FD13" i="6"/>
  <c r="FB13" i="6"/>
  <c r="EZ13" i="6"/>
  <c r="EX13" i="6"/>
  <c r="EV13" i="6"/>
  <c r="GB12" i="6"/>
  <c r="FZ12" i="6"/>
  <c r="FX12" i="6"/>
  <c r="FV12" i="6"/>
  <c r="FT12" i="6"/>
  <c r="FR12" i="6"/>
  <c r="FP12" i="6"/>
  <c r="FN12" i="6"/>
  <c r="FL12" i="6"/>
  <c r="FJ12" i="6"/>
  <c r="FH12" i="6"/>
  <c r="FF12" i="6"/>
  <c r="FD12" i="6"/>
  <c r="FB12" i="6"/>
  <c r="EZ12" i="6"/>
  <c r="EX12" i="6"/>
  <c r="EV12" i="6"/>
  <c r="GB11" i="6"/>
  <c r="FZ11" i="6"/>
  <c r="FX11" i="6"/>
  <c r="FV11" i="6"/>
  <c r="FT11" i="6"/>
  <c r="FR11" i="6"/>
  <c r="FP11" i="6"/>
  <c r="FN11" i="6"/>
  <c r="FL11" i="6"/>
  <c r="FJ11" i="6"/>
  <c r="FH11" i="6"/>
  <c r="FF11" i="6"/>
  <c r="FD11" i="6"/>
  <c r="FB11" i="6"/>
  <c r="EZ11" i="6"/>
  <c r="EX11" i="6"/>
  <c r="EV11" i="6"/>
  <c r="GB10" i="6"/>
  <c r="FZ10" i="6"/>
  <c r="FX10" i="6"/>
  <c r="FV10" i="6"/>
  <c r="FT10" i="6"/>
  <c r="FR10" i="6"/>
  <c r="FP10" i="6"/>
  <c r="FN10" i="6"/>
  <c r="FL10" i="6"/>
  <c r="FJ10" i="6"/>
  <c r="FH10" i="6"/>
  <c r="FF10" i="6"/>
  <c r="FD10" i="6"/>
  <c r="FB10" i="6"/>
  <c r="EZ10" i="6"/>
  <c r="EX10" i="6"/>
  <c r="EV10" i="6"/>
  <c r="GB9" i="6"/>
  <c r="FZ9" i="6"/>
  <c r="FX9" i="6"/>
  <c r="FV9" i="6"/>
  <c r="FT9" i="6"/>
  <c r="FR9" i="6"/>
  <c r="FP9" i="6"/>
  <c r="FN9" i="6"/>
  <c r="FL9" i="6"/>
  <c r="FJ9" i="6"/>
  <c r="FH9" i="6"/>
  <c r="FF9" i="6"/>
  <c r="FD9" i="6"/>
  <c r="FB9" i="6"/>
  <c r="EZ9" i="6"/>
  <c r="EX9" i="6"/>
  <c r="EV9" i="6"/>
  <c r="GB8" i="6"/>
  <c r="FZ8" i="6"/>
  <c r="FX8" i="6"/>
  <c r="FV8" i="6"/>
  <c r="FT8" i="6"/>
  <c r="FR8" i="6"/>
  <c r="FP8" i="6"/>
  <c r="FN8" i="6"/>
  <c r="FL8" i="6"/>
  <c r="FJ8" i="6"/>
  <c r="FH8" i="6"/>
  <c r="FF8" i="6"/>
  <c r="FD8" i="6"/>
  <c r="FB8" i="6"/>
  <c r="EZ8" i="6"/>
  <c r="EX8" i="6"/>
  <c r="EV8" i="6"/>
  <c r="GB7" i="6"/>
  <c r="FZ7" i="6"/>
  <c r="FX7" i="6"/>
  <c r="FV7" i="6"/>
  <c r="FT7" i="6"/>
  <c r="FR7" i="6"/>
  <c r="FP7" i="6"/>
  <c r="FN7" i="6"/>
  <c r="FL7" i="6"/>
  <c r="FJ7" i="6"/>
  <c r="FH7" i="6"/>
  <c r="FF7" i="6"/>
  <c r="FD7" i="6"/>
  <c r="FB7" i="6"/>
  <c r="EZ7" i="6"/>
  <c r="EX7" i="6"/>
  <c r="EV7" i="6"/>
  <c r="GB6" i="6"/>
  <c r="FZ6" i="6"/>
  <c r="FX6" i="6"/>
  <c r="FV6" i="6"/>
  <c r="FT6" i="6"/>
  <c r="FR6" i="6"/>
  <c r="FP6" i="6"/>
  <c r="FN6" i="6"/>
  <c r="FL6" i="6"/>
  <c r="FJ6" i="6"/>
  <c r="FH6" i="6"/>
  <c r="FF6" i="6"/>
  <c r="FD6" i="6"/>
  <c r="FB6" i="6"/>
  <c r="EZ6" i="6"/>
  <c r="EX6" i="6"/>
  <c r="EV6" i="6"/>
  <c r="GB5" i="6"/>
  <c r="GB14" i="6" s="1"/>
  <c r="GB25" i="6" s="1"/>
  <c r="FZ5" i="6"/>
  <c r="FZ14" i="6" s="1"/>
  <c r="FZ25" i="6" s="1"/>
  <c r="FX5" i="6"/>
  <c r="FX14" i="6" s="1"/>
  <c r="FX25" i="6" s="1"/>
  <c r="FV5" i="6"/>
  <c r="FV14" i="6" s="1"/>
  <c r="FV25" i="6" s="1"/>
  <c r="FT5" i="6"/>
  <c r="FT14" i="6" s="1"/>
  <c r="FT25" i="6" s="1"/>
  <c r="FR5" i="6"/>
  <c r="FR14" i="6" s="1"/>
  <c r="FR25" i="6" s="1"/>
  <c r="FP5" i="6"/>
  <c r="FP14" i="6" s="1"/>
  <c r="FP25" i="6" s="1"/>
  <c r="FN5" i="6"/>
  <c r="FN14" i="6" s="1"/>
  <c r="FN25" i="6" s="1"/>
  <c r="FL5" i="6"/>
  <c r="FL14" i="6" s="1"/>
  <c r="FL25" i="6" s="1"/>
  <c r="FJ5" i="6"/>
  <c r="FJ14" i="6" s="1"/>
  <c r="FJ25" i="6" s="1"/>
  <c r="FH5" i="6"/>
  <c r="FH14" i="6" s="1"/>
  <c r="FH25" i="6" s="1"/>
  <c r="FF5" i="6"/>
  <c r="FF14" i="6" s="1"/>
  <c r="FF25" i="6" s="1"/>
  <c r="FD5" i="6"/>
  <c r="FD14" i="6" s="1"/>
  <c r="FD25" i="6" s="1"/>
  <c r="FB5" i="6"/>
  <c r="FB14" i="6" s="1"/>
  <c r="FB25" i="6" s="1"/>
  <c r="EZ5" i="6"/>
  <c r="EZ14" i="6" s="1"/>
  <c r="EZ25" i="6" s="1"/>
  <c r="EX5" i="6"/>
  <c r="EX14" i="6" s="1"/>
  <c r="EX25" i="6" s="1"/>
  <c r="EV5" i="6"/>
  <c r="GA4" i="6"/>
  <c r="FY4" i="6"/>
  <c r="FW4" i="6"/>
  <c r="FU4" i="6"/>
  <c r="FS4" i="6"/>
  <c r="FQ4" i="6"/>
  <c r="FO4" i="6"/>
  <c r="EW4" i="6"/>
  <c r="FQ1" i="6"/>
  <c r="FS1" i="6" s="1"/>
  <c r="FU1" i="6" s="1"/>
  <c r="FW1" i="6" s="1"/>
  <c r="FY1" i="6" s="1"/>
  <c r="GA1" i="6" s="1"/>
  <c r="EY1" i="6"/>
  <c r="DI24" i="6"/>
  <c r="EQ23" i="6"/>
  <c r="EO23" i="6"/>
  <c r="EM23" i="6"/>
  <c r="EK23" i="6"/>
  <c r="EI23" i="6"/>
  <c r="EG23" i="6"/>
  <c r="EE23" i="6"/>
  <c r="EC23" i="6"/>
  <c r="EA23" i="6"/>
  <c r="DY23" i="6"/>
  <c r="DW23" i="6"/>
  <c r="DU23" i="6"/>
  <c r="DS23" i="6"/>
  <c r="DQ23" i="6"/>
  <c r="DO23" i="6"/>
  <c r="DM23" i="6"/>
  <c r="DK23" i="6"/>
  <c r="EQ22" i="6"/>
  <c r="EO22" i="6"/>
  <c r="EM22" i="6"/>
  <c r="EK22" i="6"/>
  <c r="EI22" i="6"/>
  <c r="EG22" i="6"/>
  <c r="EE22" i="6"/>
  <c r="EC22" i="6"/>
  <c r="EA22" i="6"/>
  <c r="DY22" i="6"/>
  <c r="DW22" i="6"/>
  <c r="DU22" i="6"/>
  <c r="DS22" i="6"/>
  <c r="DQ22" i="6"/>
  <c r="DO22" i="6"/>
  <c r="DM22" i="6"/>
  <c r="DK22" i="6"/>
  <c r="EQ21" i="6"/>
  <c r="EO21" i="6"/>
  <c r="EM21" i="6"/>
  <c r="EK21" i="6"/>
  <c r="EI21" i="6"/>
  <c r="EG21" i="6"/>
  <c r="EE21" i="6"/>
  <c r="EC21" i="6"/>
  <c r="EA21" i="6"/>
  <c r="DY21" i="6"/>
  <c r="DW21" i="6"/>
  <c r="DU21" i="6"/>
  <c r="DS21" i="6"/>
  <c r="DQ21" i="6"/>
  <c r="DO21" i="6"/>
  <c r="DM21" i="6"/>
  <c r="DK21" i="6"/>
  <c r="EQ20" i="6"/>
  <c r="EO20" i="6"/>
  <c r="EM20" i="6"/>
  <c r="EK20" i="6"/>
  <c r="EI20" i="6"/>
  <c r="EG20" i="6"/>
  <c r="EE20" i="6"/>
  <c r="EC20" i="6"/>
  <c r="EA20" i="6"/>
  <c r="DY20" i="6"/>
  <c r="DW20" i="6"/>
  <c r="DU20" i="6"/>
  <c r="DS20" i="6"/>
  <c r="DQ20" i="6"/>
  <c r="DO20" i="6"/>
  <c r="DM20" i="6"/>
  <c r="DK20" i="6"/>
  <c r="EQ19" i="6"/>
  <c r="EO19" i="6"/>
  <c r="EM19" i="6"/>
  <c r="EK19" i="6"/>
  <c r="EI19" i="6"/>
  <c r="EG19" i="6"/>
  <c r="EE19" i="6"/>
  <c r="EC19" i="6"/>
  <c r="EA19" i="6"/>
  <c r="DY19" i="6"/>
  <c r="DW19" i="6"/>
  <c r="DU19" i="6"/>
  <c r="DS19" i="6"/>
  <c r="DQ19" i="6"/>
  <c r="DO19" i="6"/>
  <c r="DM19" i="6"/>
  <c r="DK19" i="6"/>
  <c r="EQ18" i="6"/>
  <c r="EO18" i="6"/>
  <c r="EM18" i="6"/>
  <c r="EK18" i="6"/>
  <c r="EI18" i="6"/>
  <c r="EG18" i="6"/>
  <c r="EE18" i="6"/>
  <c r="EC18" i="6"/>
  <c r="EA18" i="6"/>
  <c r="DY18" i="6"/>
  <c r="DW18" i="6"/>
  <c r="DU18" i="6"/>
  <c r="DS18" i="6"/>
  <c r="DQ18" i="6"/>
  <c r="DO18" i="6"/>
  <c r="DM18" i="6"/>
  <c r="DK18" i="6"/>
  <c r="EQ17" i="6"/>
  <c r="EO17" i="6"/>
  <c r="EM17" i="6"/>
  <c r="EK17" i="6"/>
  <c r="EI17" i="6"/>
  <c r="EG17" i="6"/>
  <c r="EE17" i="6"/>
  <c r="EC17" i="6"/>
  <c r="EA17" i="6"/>
  <c r="DY17" i="6"/>
  <c r="DW17" i="6"/>
  <c r="DU17" i="6"/>
  <c r="DS17" i="6"/>
  <c r="DQ17" i="6"/>
  <c r="DO17" i="6"/>
  <c r="DM17" i="6"/>
  <c r="DK17" i="6"/>
  <c r="EQ16" i="6"/>
  <c r="EO16" i="6"/>
  <c r="EM16" i="6"/>
  <c r="EK16" i="6"/>
  <c r="EI16" i="6"/>
  <c r="EG16" i="6"/>
  <c r="EE16" i="6"/>
  <c r="EC16" i="6"/>
  <c r="EA16" i="6"/>
  <c r="DY16" i="6"/>
  <c r="DW16" i="6"/>
  <c r="DU16" i="6"/>
  <c r="DS16" i="6"/>
  <c r="DQ16" i="6"/>
  <c r="DO16" i="6"/>
  <c r="DM16" i="6"/>
  <c r="DK16" i="6"/>
  <c r="EQ15" i="6"/>
  <c r="EQ24" i="6" s="1"/>
  <c r="EO15" i="6"/>
  <c r="EO24" i="6" s="1"/>
  <c r="EM15" i="6"/>
  <c r="EM24" i="6" s="1"/>
  <c r="EK15" i="6"/>
  <c r="EK24" i="6" s="1"/>
  <c r="EI15" i="6"/>
  <c r="EI24" i="6" s="1"/>
  <c r="EG15" i="6"/>
  <c r="EG24" i="6" s="1"/>
  <c r="EE15" i="6"/>
  <c r="EE24" i="6" s="1"/>
  <c r="EC15" i="6"/>
  <c r="EC24" i="6" s="1"/>
  <c r="EA15" i="6"/>
  <c r="EA24" i="6" s="1"/>
  <c r="DY15" i="6"/>
  <c r="DY24" i="6" s="1"/>
  <c r="DW15" i="6"/>
  <c r="DW24" i="6" s="1"/>
  <c r="DU15" i="6"/>
  <c r="DU24" i="6" s="1"/>
  <c r="DS15" i="6"/>
  <c r="DS24" i="6" s="1"/>
  <c r="DQ15" i="6"/>
  <c r="DQ24" i="6" s="1"/>
  <c r="DO15" i="6"/>
  <c r="DO24" i="6" s="1"/>
  <c r="DM15" i="6"/>
  <c r="DM24" i="6" s="1"/>
  <c r="DK15" i="6"/>
  <c r="DI14" i="6"/>
  <c r="EQ13" i="6"/>
  <c r="EO13" i="6"/>
  <c r="EM13" i="6"/>
  <c r="EK13" i="6"/>
  <c r="EI13" i="6"/>
  <c r="EG13" i="6"/>
  <c r="EE13" i="6"/>
  <c r="EC13" i="6"/>
  <c r="EA13" i="6"/>
  <c r="DY13" i="6"/>
  <c r="DW13" i="6"/>
  <c r="DU13" i="6"/>
  <c r="DS13" i="6"/>
  <c r="DQ13" i="6"/>
  <c r="DO13" i="6"/>
  <c r="DM13" i="6"/>
  <c r="DK13" i="6"/>
  <c r="EQ12" i="6"/>
  <c r="EO12" i="6"/>
  <c r="EM12" i="6"/>
  <c r="EK12" i="6"/>
  <c r="EI12" i="6"/>
  <c r="EG12" i="6"/>
  <c r="EE12" i="6"/>
  <c r="EC12" i="6"/>
  <c r="EA12" i="6"/>
  <c r="DY12" i="6"/>
  <c r="DW12" i="6"/>
  <c r="DU12" i="6"/>
  <c r="DS12" i="6"/>
  <c r="DQ12" i="6"/>
  <c r="DO12" i="6"/>
  <c r="DM12" i="6"/>
  <c r="DK12" i="6"/>
  <c r="EQ11" i="6"/>
  <c r="EO11" i="6"/>
  <c r="EM11" i="6"/>
  <c r="EK11" i="6"/>
  <c r="EI11" i="6"/>
  <c r="EG11" i="6"/>
  <c r="EE11" i="6"/>
  <c r="EC11" i="6"/>
  <c r="EA11" i="6"/>
  <c r="DY11" i="6"/>
  <c r="DW11" i="6"/>
  <c r="DU11" i="6"/>
  <c r="DS11" i="6"/>
  <c r="DQ11" i="6"/>
  <c r="DO11" i="6"/>
  <c r="DM11" i="6"/>
  <c r="DK11" i="6"/>
  <c r="EQ10" i="6"/>
  <c r="EO10" i="6"/>
  <c r="EM10" i="6"/>
  <c r="EK10" i="6"/>
  <c r="EI10" i="6"/>
  <c r="EG10" i="6"/>
  <c r="EE10" i="6"/>
  <c r="EC10" i="6"/>
  <c r="EA10" i="6"/>
  <c r="DY10" i="6"/>
  <c r="DW10" i="6"/>
  <c r="DU10" i="6"/>
  <c r="DS10" i="6"/>
  <c r="DQ10" i="6"/>
  <c r="DO10" i="6"/>
  <c r="DM10" i="6"/>
  <c r="DK10" i="6"/>
  <c r="EQ9" i="6"/>
  <c r="EO9" i="6"/>
  <c r="EM9" i="6"/>
  <c r="EK9" i="6"/>
  <c r="EI9" i="6"/>
  <c r="EG9" i="6"/>
  <c r="EE9" i="6"/>
  <c r="EC9" i="6"/>
  <c r="EA9" i="6"/>
  <c r="DY9" i="6"/>
  <c r="DW9" i="6"/>
  <c r="DU9" i="6"/>
  <c r="DS9" i="6"/>
  <c r="DQ9" i="6"/>
  <c r="DO9" i="6"/>
  <c r="DM9" i="6"/>
  <c r="DK9" i="6"/>
  <c r="EQ8" i="6"/>
  <c r="EO8" i="6"/>
  <c r="EM8" i="6"/>
  <c r="EK8" i="6"/>
  <c r="EI8" i="6"/>
  <c r="EG8" i="6"/>
  <c r="EE8" i="6"/>
  <c r="EC8" i="6"/>
  <c r="EA8" i="6"/>
  <c r="DY8" i="6"/>
  <c r="DW8" i="6"/>
  <c r="DU8" i="6"/>
  <c r="DS8" i="6"/>
  <c r="DQ8" i="6"/>
  <c r="DO8" i="6"/>
  <c r="DM8" i="6"/>
  <c r="DK8" i="6"/>
  <c r="EQ7" i="6"/>
  <c r="EO7" i="6"/>
  <c r="EM7" i="6"/>
  <c r="EK7" i="6"/>
  <c r="EI7" i="6"/>
  <c r="EG7" i="6"/>
  <c r="EE7" i="6"/>
  <c r="EC7" i="6"/>
  <c r="EA7" i="6"/>
  <c r="DY7" i="6"/>
  <c r="DW7" i="6"/>
  <c r="DU7" i="6"/>
  <c r="DS7" i="6"/>
  <c r="DQ7" i="6"/>
  <c r="DO7" i="6"/>
  <c r="DM7" i="6"/>
  <c r="DK7" i="6"/>
  <c r="EQ6" i="6"/>
  <c r="EO6" i="6"/>
  <c r="EM6" i="6"/>
  <c r="EK6" i="6"/>
  <c r="EI6" i="6"/>
  <c r="EG6" i="6"/>
  <c r="EE6" i="6"/>
  <c r="EC6" i="6"/>
  <c r="EA6" i="6"/>
  <c r="DY6" i="6"/>
  <c r="DW6" i="6"/>
  <c r="DU6" i="6"/>
  <c r="DS6" i="6"/>
  <c r="DQ6" i="6"/>
  <c r="DO6" i="6"/>
  <c r="DM6" i="6"/>
  <c r="DK6" i="6"/>
  <c r="EQ5" i="6"/>
  <c r="EQ14" i="6" s="1"/>
  <c r="EQ25" i="6" s="1"/>
  <c r="EO5" i="6"/>
  <c r="EO14" i="6" s="1"/>
  <c r="EO25" i="6" s="1"/>
  <c r="EM5" i="6"/>
  <c r="EM14" i="6" s="1"/>
  <c r="EM25" i="6" s="1"/>
  <c r="EK5" i="6"/>
  <c r="EK14" i="6" s="1"/>
  <c r="EK25" i="6" s="1"/>
  <c r="EI5" i="6"/>
  <c r="EI14" i="6" s="1"/>
  <c r="EI25" i="6" s="1"/>
  <c r="EG5" i="6"/>
  <c r="EG14" i="6" s="1"/>
  <c r="EG25" i="6" s="1"/>
  <c r="EE5" i="6"/>
  <c r="EE14" i="6" s="1"/>
  <c r="EE25" i="6" s="1"/>
  <c r="EC5" i="6"/>
  <c r="EC14" i="6" s="1"/>
  <c r="EC25" i="6" s="1"/>
  <c r="EA5" i="6"/>
  <c r="EA14" i="6" s="1"/>
  <c r="EA25" i="6" s="1"/>
  <c r="DY5" i="6"/>
  <c r="DY14" i="6" s="1"/>
  <c r="DY25" i="6" s="1"/>
  <c r="DW5" i="6"/>
  <c r="DW14" i="6" s="1"/>
  <c r="DW25" i="6" s="1"/>
  <c r="DU5" i="6"/>
  <c r="DU14" i="6" s="1"/>
  <c r="DU25" i="6" s="1"/>
  <c r="DS5" i="6"/>
  <c r="DS14" i="6" s="1"/>
  <c r="DS25" i="6" s="1"/>
  <c r="DQ5" i="6"/>
  <c r="DQ14" i="6" s="1"/>
  <c r="DQ25" i="6" s="1"/>
  <c r="DO5" i="6"/>
  <c r="DO14" i="6" s="1"/>
  <c r="DO25" i="6" s="1"/>
  <c r="DM5" i="6"/>
  <c r="DM14" i="6" s="1"/>
  <c r="DM25" i="6" s="1"/>
  <c r="DK5" i="6"/>
  <c r="EP4" i="6"/>
  <c r="EN4" i="6"/>
  <c r="EL4" i="6"/>
  <c r="EJ4" i="6"/>
  <c r="EH4" i="6"/>
  <c r="EF4" i="6"/>
  <c r="ED4" i="6"/>
  <c r="DL4" i="6"/>
  <c r="EF1" i="6"/>
  <c r="EH1" i="6" s="1"/>
  <c r="EJ1" i="6" s="1"/>
  <c r="EL1" i="6" s="1"/>
  <c r="EN1" i="6" s="1"/>
  <c r="EP1" i="6" s="1"/>
  <c r="DN1" i="6"/>
  <c r="BX24" i="6"/>
  <c r="DF23" i="6"/>
  <c r="DD23" i="6"/>
  <c r="DB23" i="6"/>
  <c r="CZ23" i="6"/>
  <c r="CX23" i="6"/>
  <c r="CV23" i="6"/>
  <c r="CT23" i="6"/>
  <c r="CR23" i="6"/>
  <c r="CP23" i="6"/>
  <c r="CN23" i="6"/>
  <c r="CL23" i="6"/>
  <c r="CJ23" i="6"/>
  <c r="CH23" i="6"/>
  <c r="CF23" i="6"/>
  <c r="CD23" i="6"/>
  <c r="CB23" i="6"/>
  <c r="BZ23" i="6"/>
  <c r="DF22" i="6"/>
  <c r="DD22" i="6"/>
  <c r="DB22" i="6"/>
  <c r="CZ22" i="6"/>
  <c r="CX22" i="6"/>
  <c r="CV22" i="6"/>
  <c r="CT22" i="6"/>
  <c r="CR22" i="6"/>
  <c r="CP22" i="6"/>
  <c r="CN22" i="6"/>
  <c r="CL22" i="6"/>
  <c r="CJ22" i="6"/>
  <c r="CH22" i="6"/>
  <c r="CF22" i="6"/>
  <c r="CD22" i="6"/>
  <c r="CB22" i="6"/>
  <c r="BZ22" i="6"/>
  <c r="DF21" i="6"/>
  <c r="DD21" i="6"/>
  <c r="DB21" i="6"/>
  <c r="CZ21" i="6"/>
  <c r="CX21" i="6"/>
  <c r="CV21" i="6"/>
  <c r="CT21" i="6"/>
  <c r="CR21" i="6"/>
  <c r="CP21" i="6"/>
  <c r="CN21" i="6"/>
  <c r="CL21" i="6"/>
  <c r="CJ21" i="6"/>
  <c r="CH21" i="6"/>
  <c r="CF21" i="6"/>
  <c r="CD21" i="6"/>
  <c r="CB21" i="6"/>
  <c r="BZ21" i="6"/>
  <c r="DF20" i="6"/>
  <c r="DD20" i="6"/>
  <c r="DB20" i="6"/>
  <c r="CZ20" i="6"/>
  <c r="CX20" i="6"/>
  <c r="CV20" i="6"/>
  <c r="CT20" i="6"/>
  <c r="CR20" i="6"/>
  <c r="CP20" i="6"/>
  <c r="CN20" i="6"/>
  <c r="CL20" i="6"/>
  <c r="CJ20" i="6"/>
  <c r="CH20" i="6"/>
  <c r="CF20" i="6"/>
  <c r="CD20" i="6"/>
  <c r="CB20" i="6"/>
  <c r="BZ20" i="6"/>
  <c r="DF19" i="6"/>
  <c r="DD19" i="6"/>
  <c r="DB19" i="6"/>
  <c r="CZ19" i="6"/>
  <c r="CX19" i="6"/>
  <c r="CV19" i="6"/>
  <c r="CT19" i="6"/>
  <c r="CR19" i="6"/>
  <c r="CP19" i="6"/>
  <c r="CN19" i="6"/>
  <c r="CL19" i="6"/>
  <c r="CJ19" i="6"/>
  <c r="CH19" i="6"/>
  <c r="CF19" i="6"/>
  <c r="CD19" i="6"/>
  <c r="CB19" i="6"/>
  <c r="BZ19" i="6"/>
  <c r="DF18" i="6"/>
  <c r="DD18" i="6"/>
  <c r="DB18" i="6"/>
  <c r="CZ18" i="6"/>
  <c r="CX18" i="6"/>
  <c r="CV18" i="6"/>
  <c r="CT18" i="6"/>
  <c r="CR18" i="6"/>
  <c r="CP18" i="6"/>
  <c r="CN18" i="6"/>
  <c r="CL18" i="6"/>
  <c r="CJ18" i="6"/>
  <c r="CH18" i="6"/>
  <c r="CF18" i="6"/>
  <c r="CD18" i="6"/>
  <c r="CB18" i="6"/>
  <c r="BZ18" i="6"/>
  <c r="DF17" i="6"/>
  <c r="DD17" i="6"/>
  <c r="DB17" i="6"/>
  <c r="CZ17" i="6"/>
  <c r="CX17" i="6"/>
  <c r="CV17" i="6"/>
  <c r="CT17" i="6"/>
  <c r="CR17" i="6"/>
  <c r="CP17" i="6"/>
  <c r="CN17" i="6"/>
  <c r="CL17" i="6"/>
  <c r="CJ17" i="6"/>
  <c r="CH17" i="6"/>
  <c r="CF17" i="6"/>
  <c r="CD17" i="6"/>
  <c r="CB17" i="6"/>
  <c r="BZ17" i="6"/>
  <c r="DF16" i="6"/>
  <c r="DD16" i="6"/>
  <c r="DB16" i="6"/>
  <c r="CZ16" i="6"/>
  <c r="CX16" i="6"/>
  <c r="CV16" i="6"/>
  <c r="CT16" i="6"/>
  <c r="CR16" i="6"/>
  <c r="CP16" i="6"/>
  <c r="CN16" i="6"/>
  <c r="CL16" i="6"/>
  <c r="CJ16" i="6"/>
  <c r="CH16" i="6"/>
  <c r="CF16" i="6"/>
  <c r="CD16" i="6"/>
  <c r="CB16" i="6"/>
  <c r="BZ16" i="6"/>
  <c r="DF15" i="6"/>
  <c r="DF24" i="6" s="1"/>
  <c r="DD15" i="6"/>
  <c r="DD24" i="6" s="1"/>
  <c r="DB15" i="6"/>
  <c r="DB24" i="6" s="1"/>
  <c r="CZ15" i="6"/>
  <c r="CZ24" i="6" s="1"/>
  <c r="CX15" i="6"/>
  <c r="CX24" i="6" s="1"/>
  <c r="CV15" i="6"/>
  <c r="CV24" i="6" s="1"/>
  <c r="CT15" i="6"/>
  <c r="CT24" i="6" s="1"/>
  <c r="CR15" i="6"/>
  <c r="CR24" i="6" s="1"/>
  <c r="CP15" i="6"/>
  <c r="CP24" i="6" s="1"/>
  <c r="CN15" i="6"/>
  <c r="CN24" i="6" s="1"/>
  <c r="CL15" i="6"/>
  <c r="CL24" i="6" s="1"/>
  <c r="CJ15" i="6"/>
  <c r="CJ24" i="6" s="1"/>
  <c r="CH15" i="6"/>
  <c r="CH24" i="6" s="1"/>
  <c r="CF15" i="6"/>
  <c r="CF24" i="6" s="1"/>
  <c r="CD15" i="6"/>
  <c r="CD24" i="6" s="1"/>
  <c r="CB15" i="6"/>
  <c r="CB24" i="6" s="1"/>
  <c r="BZ15" i="6"/>
  <c r="BX14" i="6"/>
  <c r="DF13" i="6"/>
  <c r="DD13" i="6"/>
  <c r="DB13" i="6"/>
  <c r="CZ13" i="6"/>
  <c r="CX13" i="6"/>
  <c r="CV13" i="6"/>
  <c r="CT13" i="6"/>
  <c r="CR13" i="6"/>
  <c r="CP13" i="6"/>
  <c r="CN13" i="6"/>
  <c r="CL13" i="6"/>
  <c r="CJ13" i="6"/>
  <c r="CH13" i="6"/>
  <c r="CF13" i="6"/>
  <c r="CD13" i="6"/>
  <c r="CB13" i="6"/>
  <c r="BZ13" i="6"/>
  <c r="DF12" i="6"/>
  <c r="DD12" i="6"/>
  <c r="DB12" i="6"/>
  <c r="CZ12" i="6"/>
  <c r="CX12" i="6"/>
  <c r="CV12" i="6"/>
  <c r="CT12" i="6"/>
  <c r="CR12" i="6"/>
  <c r="CP12" i="6"/>
  <c r="CN12" i="6"/>
  <c r="CL12" i="6"/>
  <c r="CJ12" i="6"/>
  <c r="CH12" i="6"/>
  <c r="CF12" i="6"/>
  <c r="CD12" i="6"/>
  <c r="CB12" i="6"/>
  <c r="BZ12" i="6"/>
  <c r="DF11" i="6"/>
  <c r="DD11" i="6"/>
  <c r="DB11" i="6"/>
  <c r="CZ11" i="6"/>
  <c r="CX11" i="6"/>
  <c r="CV11" i="6"/>
  <c r="CT11" i="6"/>
  <c r="CR11" i="6"/>
  <c r="CP11" i="6"/>
  <c r="CN11" i="6"/>
  <c r="CL11" i="6"/>
  <c r="CJ11" i="6"/>
  <c r="CH11" i="6"/>
  <c r="CF11" i="6"/>
  <c r="CD11" i="6"/>
  <c r="CB11" i="6"/>
  <c r="BZ11" i="6"/>
  <c r="DF10" i="6"/>
  <c r="DD10" i="6"/>
  <c r="DB10" i="6"/>
  <c r="CZ10" i="6"/>
  <c r="CX10" i="6"/>
  <c r="CV10" i="6"/>
  <c r="CT10" i="6"/>
  <c r="CR10" i="6"/>
  <c r="CP10" i="6"/>
  <c r="CN10" i="6"/>
  <c r="CL10" i="6"/>
  <c r="CJ10" i="6"/>
  <c r="CH10" i="6"/>
  <c r="CF10" i="6"/>
  <c r="CD10" i="6"/>
  <c r="CB10" i="6"/>
  <c r="BZ10" i="6"/>
  <c r="DF9" i="6"/>
  <c r="DD9" i="6"/>
  <c r="DB9" i="6"/>
  <c r="CZ9" i="6"/>
  <c r="CX9" i="6"/>
  <c r="CV9" i="6"/>
  <c r="CT9" i="6"/>
  <c r="CR9" i="6"/>
  <c r="CP9" i="6"/>
  <c r="CN9" i="6"/>
  <c r="CL9" i="6"/>
  <c r="CJ9" i="6"/>
  <c r="CH9" i="6"/>
  <c r="CF9" i="6"/>
  <c r="CD9" i="6"/>
  <c r="CB9" i="6"/>
  <c r="BZ9" i="6"/>
  <c r="DF8" i="6"/>
  <c r="DD8" i="6"/>
  <c r="DB8" i="6"/>
  <c r="CZ8" i="6"/>
  <c r="CX8" i="6"/>
  <c r="CV8" i="6"/>
  <c r="CT8" i="6"/>
  <c r="CR8" i="6"/>
  <c r="CP8" i="6"/>
  <c r="CN8" i="6"/>
  <c r="CL8" i="6"/>
  <c r="CJ8" i="6"/>
  <c r="CH8" i="6"/>
  <c r="CF8" i="6"/>
  <c r="CD8" i="6"/>
  <c r="CB8" i="6"/>
  <c r="BZ8" i="6"/>
  <c r="DF7" i="6"/>
  <c r="DD7" i="6"/>
  <c r="DB7" i="6"/>
  <c r="CZ7" i="6"/>
  <c r="CX7" i="6"/>
  <c r="CV7" i="6"/>
  <c r="CT7" i="6"/>
  <c r="CR7" i="6"/>
  <c r="CP7" i="6"/>
  <c r="CN7" i="6"/>
  <c r="CL7" i="6"/>
  <c r="CJ7" i="6"/>
  <c r="CH7" i="6"/>
  <c r="CF7" i="6"/>
  <c r="CD7" i="6"/>
  <c r="CB7" i="6"/>
  <c r="BZ7" i="6"/>
  <c r="DF6" i="6"/>
  <c r="DD6" i="6"/>
  <c r="DB6" i="6"/>
  <c r="CZ6" i="6"/>
  <c r="CX6" i="6"/>
  <c r="CV6" i="6"/>
  <c r="CT6" i="6"/>
  <c r="CR6" i="6"/>
  <c r="CP6" i="6"/>
  <c r="CN6" i="6"/>
  <c r="CL6" i="6"/>
  <c r="CJ6" i="6"/>
  <c r="CH6" i="6"/>
  <c r="CF6" i="6"/>
  <c r="CD6" i="6"/>
  <c r="CB6" i="6"/>
  <c r="BZ6" i="6"/>
  <c r="DF5" i="6"/>
  <c r="DF14" i="6" s="1"/>
  <c r="DF25" i="6" s="1"/>
  <c r="DD5" i="6"/>
  <c r="DD14" i="6" s="1"/>
  <c r="DD25" i="6" s="1"/>
  <c r="DB5" i="6"/>
  <c r="DB14" i="6" s="1"/>
  <c r="DB25" i="6" s="1"/>
  <c r="CZ5" i="6"/>
  <c r="CZ14" i="6" s="1"/>
  <c r="CZ25" i="6" s="1"/>
  <c r="CX5" i="6"/>
  <c r="CX14" i="6" s="1"/>
  <c r="CX25" i="6" s="1"/>
  <c r="CV5" i="6"/>
  <c r="CV14" i="6" s="1"/>
  <c r="CV25" i="6" s="1"/>
  <c r="CT5" i="6"/>
  <c r="CT14" i="6" s="1"/>
  <c r="CT25" i="6" s="1"/>
  <c r="CR5" i="6"/>
  <c r="CR14" i="6" s="1"/>
  <c r="CR25" i="6" s="1"/>
  <c r="CP5" i="6"/>
  <c r="CP14" i="6" s="1"/>
  <c r="CP25" i="6" s="1"/>
  <c r="CN5" i="6"/>
  <c r="CN14" i="6" s="1"/>
  <c r="CN25" i="6" s="1"/>
  <c r="CL5" i="6"/>
  <c r="CL14" i="6" s="1"/>
  <c r="CL25" i="6" s="1"/>
  <c r="CJ5" i="6"/>
  <c r="CJ14" i="6" s="1"/>
  <c r="CJ25" i="6" s="1"/>
  <c r="CH5" i="6"/>
  <c r="CH14" i="6" s="1"/>
  <c r="CH25" i="6" s="1"/>
  <c r="CF5" i="6"/>
  <c r="CF14" i="6" s="1"/>
  <c r="CF25" i="6" s="1"/>
  <c r="CD5" i="6"/>
  <c r="CD14" i="6" s="1"/>
  <c r="CD25" i="6" s="1"/>
  <c r="CB5" i="6"/>
  <c r="CB14" i="6" s="1"/>
  <c r="CB25" i="6" s="1"/>
  <c r="BZ5" i="6"/>
  <c r="DE4" i="6"/>
  <c r="DC4" i="6"/>
  <c r="DA4" i="6"/>
  <c r="CY4" i="6"/>
  <c r="CW4" i="6"/>
  <c r="CU4" i="6"/>
  <c r="CS4" i="6"/>
  <c r="CA4" i="6"/>
  <c r="CU1" i="6"/>
  <c r="CW1" i="6" s="1"/>
  <c r="CY1" i="6" s="1"/>
  <c r="DA1" i="6" s="1"/>
  <c r="DC1" i="6" s="1"/>
  <c r="DE1" i="6" s="1"/>
  <c r="CC1" i="6"/>
  <c r="AM24" i="6"/>
  <c r="BU23" i="6"/>
  <c r="BS23" i="6"/>
  <c r="BQ23" i="6"/>
  <c r="BO23" i="6"/>
  <c r="BM23" i="6"/>
  <c r="BK23" i="6"/>
  <c r="BI23" i="6"/>
  <c r="BG23" i="6"/>
  <c r="BE23" i="6"/>
  <c r="BC23" i="6"/>
  <c r="BA23" i="6"/>
  <c r="AY23" i="6"/>
  <c r="AW23" i="6"/>
  <c r="AU23" i="6"/>
  <c r="AS23" i="6"/>
  <c r="AQ23" i="6"/>
  <c r="AO23" i="6"/>
  <c r="BU22" i="6"/>
  <c r="BS22" i="6"/>
  <c r="BQ22" i="6"/>
  <c r="BO22" i="6"/>
  <c r="BM22" i="6"/>
  <c r="BK22" i="6"/>
  <c r="BI22" i="6"/>
  <c r="BG22" i="6"/>
  <c r="BE22" i="6"/>
  <c r="BC22" i="6"/>
  <c r="BA22" i="6"/>
  <c r="AY22" i="6"/>
  <c r="AW22" i="6"/>
  <c r="AU22" i="6"/>
  <c r="AS22" i="6"/>
  <c r="AQ22" i="6"/>
  <c r="AO22" i="6"/>
  <c r="BU21" i="6"/>
  <c r="BS21" i="6"/>
  <c r="BQ21" i="6"/>
  <c r="BO21" i="6"/>
  <c r="BM21" i="6"/>
  <c r="BK21" i="6"/>
  <c r="BI21" i="6"/>
  <c r="BG21" i="6"/>
  <c r="BE21" i="6"/>
  <c r="BC21" i="6"/>
  <c r="BA21" i="6"/>
  <c r="AY21" i="6"/>
  <c r="AW21" i="6"/>
  <c r="AU21" i="6"/>
  <c r="AS21" i="6"/>
  <c r="AQ21" i="6"/>
  <c r="AO21" i="6"/>
  <c r="BU20" i="6"/>
  <c r="BS20" i="6"/>
  <c r="BQ20" i="6"/>
  <c r="BO20" i="6"/>
  <c r="BM20" i="6"/>
  <c r="BK20" i="6"/>
  <c r="BI20" i="6"/>
  <c r="BG20" i="6"/>
  <c r="BE20" i="6"/>
  <c r="BC20" i="6"/>
  <c r="BA20" i="6"/>
  <c r="AY20" i="6"/>
  <c r="AW20" i="6"/>
  <c r="AU20" i="6"/>
  <c r="AS20" i="6"/>
  <c r="AQ20" i="6"/>
  <c r="AO20" i="6"/>
  <c r="BU19" i="6"/>
  <c r="BS19" i="6"/>
  <c r="BQ19" i="6"/>
  <c r="BO19" i="6"/>
  <c r="BM19" i="6"/>
  <c r="BK19" i="6"/>
  <c r="BI19" i="6"/>
  <c r="BG19" i="6"/>
  <c r="BE19" i="6"/>
  <c r="BC19" i="6"/>
  <c r="BA19" i="6"/>
  <c r="AY19" i="6"/>
  <c r="AW19" i="6"/>
  <c r="AU19" i="6"/>
  <c r="AS19" i="6"/>
  <c r="AQ19" i="6"/>
  <c r="AO19" i="6"/>
  <c r="BU18" i="6"/>
  <c r="BS18" i="6"/>
  <c r="BQ18" i="6"/>
  <c r="BO18" i="6"/>
  <c r="BM18" i="6"/>
  <c r="BK18" i="6"/>
  <c r="BI18" i="6"/>
  <c r="BG18" i="6"/>
  <c r="BE18" i="6"/>
  <c r="BC18" i="6"/>
  <c r="BA18" i="6"/>
  <c r="AY18" i="6"/>
  <c r="AW18" i="6"/>
  <c r="AU18" i="6"/>
  <c r="AS18" i="6"/>
  <c r="AQ18" i="6"/>
  <c r="AO18" i="6"/>
  <c r="BU17" i="6"/>
  <c r="BS17" i="6"/>
  <c r="BQ17" i="6"/>
  <c r="BO17" i="6"/>
  <c r="BM17" i="6"/>
  <c r="BK17" i="6"/>
  <c r="BI17" i="6"/>
  <c r="BG17" i="6"/>
  <c r="BE17" i="6"/>
  <c r="BC17" i="6"/>
  <c r="BA17" i="6"/>
  <c r="AY17" i="6"/>
  <c r="AW17" i="6"/>
  <c r="AU17" i="6"/>
  <c r="AS17" i="6"/>
  <c r="AQ17" i="6"/>
  <c r="AO17" i="6"/>
  <c r="BU16" i="6"/>
  <c r="BS16" i="6"/>
  <c r="BQ16" i="6"/>
  <c r="BO16" i="6"/>
  <c r="BM16" i="6"/>
  <c r="BK16" i="6"/>
  <c r="BI16" i="6"/>
  <c r="BG16" i="6"/>
  <c r="BE16" i="6"/>
  <c r="BC16" i="6"/>
  <c r="BA16" i="6"/>
  <c r="AY16" i="6"/>
  <c r="AW16" i="6"/>
  <c r="AU16" i="6"/>
  <c r="AS16" i="6"/>
  <c r="AQ16" i="6"/>
  <c r="AO16" i="6"/>
  <c r="BU15" i="6"/>
  <c r="BU24" i="6" s="1"/>
  <c r="BS15" i="6"/>
  <c r="BS24" i="6" s="1"/>
  <c r="BQ15" i="6"/>
  <c r="BQ24" i="6" s="1"/>
  <c r="BO15" i="6"/>
  <c r="BO24" i="6" s="1"/>
  <c r="BM15" i="6"/>
  <c r="BM24" i="6" s="1"/>
  <c r="BK15" i="6"/>
  <c r="BK24" i="6" s="1"/>
  <c r="BI15" i="6"/>
  <c r="BI24" i="6" s="1"/>
  <c r="BG15" i="6"/>
  <c r="BG24" i="6" s="1"/>
  <c r="BE15" i="6"/>
  <c r="BE24" i="6" s="1"/>
  <c r="BC15" i="6"/>
  <c r="BC24" i="6" s="1"/>
  <c r="BA15" i="6"/>
  <c r="BA24" i="6" s="1"/>
  <c r="AY15" i="6"/>
  <c r="AY24" i="6" s="1"/>
  <c r="AW15" i="6"/>
  <c r="AW24" i="6" s="1"/>
  <c r="AU15" i="6"/>
  <c r="AU24" i="6" s="1"/>
  <c r="AS15" i="6"/>
  <c r="AS24" i="6" s="1"/>
  <c r="AQ15" i="6"/>
  <c r="AQ24" i="6" s="1"/>
  <c r="AO15" i="6"/>
  <c r="AM14" i="6"/>
  <c r="BU13" i="6"/>
  <c r="BS13" i="6"/>
  <c r="BQ13" i="6"/>
  <c r="BO13" i="6"/>
  <c r="BM13" i="6"/>
  <c r="BK13" i="6"/>
  <c r="BI13" i="6"/>
  <c r="BG13" i="6"/>
  <c r="BE13" i="6"/>
  <c r="BC13" i="6"/>
  <c r="BA13" i="6"/>
  <c r="AY13" i="6"/>
  <c r="AW13" i="6"/>
  <c r="AU13" i="6"/>
  <c r="AS13" i="6"/>
  <c r="AQ13" i="6"/>
  <c r="AO13" i="6"/>
  <c r="BU12" i="6"/>
  <c r="BS12" i="6"/>
  <c r="BQ12" i="6"/>
  <c r="BO12" i="6"/>
  <c r="BM12" i="6"/>
  <c r="BK12" i="6"/>
  <c r="BI12" i="6"/>
  <c r="BG12" i="6"/>
  <c r="BE12" i="6"/>
  <c r="BC12" i="6"/>
  <c r="BA12" i="6"/>
  <c r="AY12" i="6"/>
  <c r="AW12" i="6"/>
  <c r="AU12" i="6"/>
  <c r="AS12" i="6"/>
  <c r="AQ12" i="6"/>
  <c r="AO12" i="6"/>
  <c r="BU11" i="6"/>
  <c r="BS11" i="6"/>
  <c r="BQ11" i="6"/>
  <c r="BO11" i="6"/>
  <c r="BM11" i="6"/>
  <c r="BK11" i="6"/>
  <c r="BI11" i="6"/>
  <c r="BG11" i="6"/>
  <c r="BE11" i="6"/>
  <c r="BC11" i="6"/>
  <c r="BA11" i="6"/>
  <c r="AY11" i="6"/>
  <c r="AW11" i="6"/>
  <c r="AU11" i="6"/>
  <c r="AS11" i="6"/>
  <c r="AQ11" i="6"/>
  <c r="AO11" i="6"/>
  <c r="BU10" i="6"/>
  <c r="BS10" i="6"/>
  <c r="BQ10" i="6"/>
  <c r="BO10" i="6"/>
  <c r="BM10" i="6"/>
  <c r="BK10" i="6"/>
  <c r="BI10" i="6"/>
  <c r="BG10" i="6"/>
  <c r="BE10" i="6"/>
  <c r="BC10" i="6"/>
  <c r="BA10" i="6"/>
  <c r="AY10" i="6"/>
  <c r="AW10" i="6"/>
  <c r="AU10" i="6"/>
  <c r="AS10" i="6"/>
  <c r="AQ10" i="6"/>
  <c r="AO10" i="6"/>
  <c r="BU9" i="6"/>
  <c r="BS9" i="6"/>
  <c r="BQ9" i="6"/>
  <c r="BO9" i="6"/>
  <c r="BM9" i="6"/>
  <c r="BK9" i="6"/>
  <c r="BI9" i="6"/>
  <c r="BG9" i="6"/>
  <c r="BE9" i="6"/>
  <c r="BC9" i="6"/>
  <c r="BA9" i="6"/>
  <c r="AY9" i="6"/>
  <c r="AW9" i="6"/>
  <c r="AU9" i="6"/>
  <c r="AS9" i="6"/>
  <c r="AQ9" i="6"/>
  <c r="AO9" i="6"/>
  <c r="BU8" i="6"/>
  <c r="BS8" i="6"/>
  <c r="BQ8" i="6"/>
  <c r="BO8" i="6"/>
  <c r="BM8" i="6"/>
  <c r="BK8" i="6"/>
  <c r="BI8" i="6"/>
  <c r="BG8" i="6"/>
  <c r="BE8" i="6"/>
  <c r="BC8" i="6"/>
  <c r="BA8" i="6"/>
  <c r="AY8" i="6"/>
  <c r="AW8" i="6"/>
  <c r="AU8" i="6"/>
  <c r="AS8" i="6"/>
  <c r="AQ8" i="6"/>
  <c r="AO8" i="6"/>
  <c r="BU7" i="6"/>
  <c r="BS7" i="6"/>
  <c r="BQ7" i="6"/>
  <c r="BO7" i="6"/>
  <c r="BM7" i="6"/>
  <c r="BK7" i="6"/>
  <c r="BI7" i="6"/>
  <c r="BG7" i="6"/>
  <c r="BE7" i="6"/>
  <c r="BC7" i="6"/>
  <c r="BA7" i="6"/>
  <c r="AY7" i="6"/>
  <c r="AW7" i="6"/>
  <c r="AU7" i="6"/>
  <c r="AS7" i="6"/>
  <c r="AQ7" i="6"/>
  <c r="AO7" i="6"/>
  <c r="BU6" i="6"/>
  <c r="BS6" i="6"/>
  <c r="BQ6" i="6"/>
  <c r="BO6" i="6"/>
  <c r="BM6" i="6"/>
  <c r="BK6" i="6"/>
  <c r="BI6" i="6"/>
  <c r="BG6" i="6"/>
  <c r="BE6" i="6"/>
  <c r="BC6" i="6"/>
  <c r="BA6" i="6"/>
  <c r="AY6" i="6"/>
  <c r="AW6" i="6"/>
  <c r="AU6" i="6"/>
  <c r="AS6" i="6"/>
  <c r="AQ6" i="6"/>
  <c r="AO6" i="6"/>
  <c r="BU5" i="6"/>
  <c r="BU14" i="6" s="1"/>
  <c r="BU25" i="6" s="1"/>
  <c r="BS5" i="6"/>
  <c r="BS14" i="6" s="1"/>
  <c r="BS25" i="6" s="1"/>
  <c r="BQ5" i="6"/>
  <c r="BQ14" i="6" s="1"/>
  <c r="BQ25" i="6" s="1"/>
  <c r="BO5" i="6"/>
  <c r="BO14" i="6" s="1"/>
  <c r="BO25" i="6" s="1"/>
  <c r="BM5" i="6"/>
  <c r="BM14" i="6" s="1"/>
  <c r="BM25" i="6" s="1"/>
  <c r="BK5" i="6"/>
  <c r="BK14" i="6" s="1"/>
  <c r="BK25" i="6" s="1"/>
  <c r="BI5" i="6"/>
  <c r="BI14" i="6" s="1"/>
  <c r="BI25" i="6" s="1"/>
  <c r="BG5" i="6"/>
  <c r="BG14" i="6" s="1"/>
  <c r="BG25" i="6" s="1"/>
  <c r="BE5" i="6"/>
  <c r="BE14" i="6" s="1"/>
  <c r="BE25" i="6" s="1"/>
  <c r="BC5" i="6"/>
  <c r="BC14" i="6" s="1"/>
  <c r="BC25" i="6" s="1"/>
  <c r="BA5" i="6"/>
  <c r="BA14" i="6" s="1"/>
  <c r="BA25" i="6" s="1"/>
  <c r="AY5" i="6"/>
  <c r="AY14" i="6" s="1"/>
  <c r="AY25" i="6" s="1"/>
  <c r="AW5" i="6"/>
  <c r="AW14" i="6" s="1"/>
  <c r="AW25" i="6" s="1"/>
  <c r="AU5" i="6"/>
  <c r="AU14" i="6" s="1"/>
  <c r="AU25" i="6" s="1"/>
  <c r="AS5" i="6"/>
  <c r="AS14" i="6" s="1"/>
  <c r="AS25" i="6" s="1"/>
  <c r="AQ5" i="6"/>
  <c r="AQ14" i="6" s="1"/>
  <c r="AQ25" i="6" s="1"/>
  <c r="AO5" i="6"/>
  <c r="BT4" i="6"/>
  <c r="BR4" i="6"/>
  <c r="BP4" i="6"/>
  <c r="BN4" i="6"/>
  <c r="BL4" i="6"/>
  <c r="BJ4" i="6"/>
  <c r="BH4" i="6"/>
  <c r="AP4" i="6"/>
  <c r="BJ1" i="6"/>
  <c r="BL1" i="6" s="1"/>
  <c r="BN1" i="6" s="1"/>
  <c r="BP1" i="6" s="1"/>
  <c r="BR1" i="6" s="1"/>
  <c r="BT1" i="6" s="1"/>
  <c r="AR1" i="6"/>
  <c r="AJ23" i="6"/>
  <c r="AJ22" i="6"/>
  <c r="AJ21" i="6"/>
  <c r="AJ20" i="6"/>
  <c r="AJ19" i="6"/>
  <c r="AJ18" i="6"/>
  <c r="AJ17" i="6"/>
  <c r="AJ16" i="6"/>
  <c r="AJ15" i="6"/>
  <c r="AJ24" i="6" s="1"/>
  <c r="AJ13" i="6"/>
  <c r="AJ12" i="6"/>
  <c r="AJ11" i="6"/>
  <c r="AJ10" i="6"/>
  <c r="AJ9" i="6"/>
  <c r="AJ8" i="6"/>
  <c r="AJ7" i="6"/>
  <c r="AJ6" i="6"/>
  <c r="AJ5" i="6"/>
  <c r="AJ14" i="6" s="1"/>
  <c r="AJ25" i="6" s="1"/>
  <c r="W4" i="6"/>
  <c r="Y4" i="6"/>
  <c r="AA4" i="6"/>
  <c r="AC4" i="6"/>
  <c r="AE4" i="6"/>
  <c r="AG4" i="6"/>
  <c r="AI4" i="6"/>
  <c r="E4" i="6"/>
  <c r="V23" i="6"/>
  <c r="T23" i="6"/>
  <c r="R23" i="6"/>
  <c r="P23" i="6"/>
  <c r="N23" i="6"/>
  <c r="L23" i="6"/>
  <c r="J23" i="6"/>
  <c r="H23" i="6"/>
  <c r="F23" i="6"/>
  <c r="V22" i="6"/>
  <c r="T22" i="6"/>
  <c r="R22" i="6"/>
  <c r="P22" i="6"/>
  <c r="N22" i="6"/>
  <c r="L22" i="6"/>
  <c r="J22" i="6"/>
  <c r="H22" i="6"/>
  <c r="F22" i="6"/>
  <c r="V21" i="6"/>
  <c r="T21" i="6"/>
  <c r="R21" i="6"/>
  <c r="P21" i="6"/>
  <c r="N21" i="6"/>
  <c r="L21" i="6"/>
  <c r="J21" i="6"/>
  <c r="H21" i="6"/>
  <c r="F21" i="6"/>
  <c r="V20" i="6"/>
  <c r="T20" i="6"/>
  <c r="R20" i="6"/>
  <c r="P20" i="6"/>
  <c r="N20" i="6"/>
  <c r="L20" i="6"/>
  <c r="J20" i="6"/>
  <c r="H20" i="6"/>
  <c r="F20" i="6"/>
  <c r="V19" i="6"/>
  <c r="T19" i="6"/>
  <c r="R19" i="6"/>
  <c r="P19" i="6"/>
  <c r="N19" i="6"/>
  <c r="L19" i="6"/>
  <c r="J19" i="6"/>
  <c r="H19" i="6"/>
  <c r="F19" i="6"/>
  <c r="V18" i="6"/>
  <c r="T18" i="6"/>
  <c r="R18" i="6"/>
  <c r="P18" i="6"/>
  <c r="N18" i="6"/>
  <c r="L18" i="6"/>
  <c r="J18" i="6"/>
  <c r="H18" i="6"/>
  <c r="F18" i="6"/>
  <c r="V17" i="6"/>
  <c r="T17" i="6"/>
  <c r="R17" i="6"/>
  <c r="P17" i="6"/>
  <c r="N17" i="6"/>
  <c r="L17" i="6"/>
  <c r="J17" i="6"/>
  <c r="H17" i="6"/>
  <c r="F17" i="6"/>
  <c r="V16" i="6"/>
  <c r="T16" i="6"/>
  <c r="R16" i="6"/>
  <c r="P16" i="6"/>
  <c r="N16" i="6"/>
  <c r="L16" i="6"/>
  <c r="J16" i="6"/>
  <c r="H16" i="6"/>
  <c r="F16" i="6"/>
  <c r="V15" i="6"/>
  <c r="V24" i="6" s="1"/>
  <c r="T15" i="6"/>
  <c r="T24" i="6" s="1"/>
  <c r="R15" i="6"/>
  <c r="R24" i="6" s="1"/>
  <c r="P15" i="6"/>
  <c r="P24" i="6" s="1"/>
  <c r="N15" i="6"/>
  <c r="N24" i="6" s="1"/>
  <c r="L15" i="6"/>
  <c r="L24" i="6" s="1"/>
  <c r="J15" i="6"/>
  <c r="J24" i="6" s="1"/>
  <c r="H15" i="6"/>
  <c r="H24" i="6" s="1"/>
  <c r="F15" i="6"/>
  <c r="F24" i="6" s="1"/>
  <c r="V13" i="6"/>
  <c r="T13" i="6"/>
  <c r="R13" i="6"/>
  <c r="P13" i="6"/>
  <c r="N13" i="6"/>
  <c r="L13" i="6"/>
  <c r="J13" i="6"/>
  <c r="H13" i="6"/>
  <c r="F13" i="6"/>
  <c r="V12" i="6"/>
  <c r="T12" i="6"/>
  <c r="R12" i="6"/>
  <c r="P12" i="6"/>
  <c r="N12" i="6"/>
  <c r="L12" i="6"/>
  <c r="J12" i="6"/>
  <c r="H12" i="6"/>
  <c r="F12" i="6"/>
  <c r="V11" i="6"/>
  <c r="T11" i="6"/>
  <c r="R11" i="6"/>
  <c r="P11" i="6"/>
  <c r="N11" i="6"/>
  <c r="L11" i="6"/>
  <c r="J11" i="6"/>
  <c r="F11" i="6"/>
  <c r="V10" i="6"/>
  <c r="T10" i="6"/>
  <c r="R10" i="6"/>
  <c r="P10" i="6"/>
  <c r="N10" i="6"/>
  <c r="L10" i="6"/>
  <c r="J10" i="6"/>
  <c r="F10" i="6"/>
  <c r="V9" i="6"/>
  <c r="T9" i="6"/>
  <c r="R9" i="6"/>
  <c r="P9" i="6"/>
  <c r="N9" i="6"/>
  <c r="L9" i="6"/>
  <c r="J9" i="6"/>
  <c r="F9" i="6"/>
  <c r="V8" i="6"/>
  <c r="T8" i="6"/>
  <c r="R8" i="6"/>
  <c r="P8" i="6"/>
  <c r="N8" i="6"/>
  <c r="L8" i="6"/>
  <c r="J8" i="6"/>
  <c r="F8" i="6"/>
  <c r="V7" i="6"/>
  <c r="T7" i="6"/>
  <c r="R7" i="6"/>
  <c r="P7" i="6"/>
  <c r="N7" i="6"/>
  <c r="L7" i="6"/>
  <c r="J7" i="6"/>
  <c r="F7" i="6"/>
  <c r="V6" i="6"/>
  <c r="T6" i="6"/>
  <c r="R6" i="6"/>
  <c r="P6" i="6"/>
  <c r="N6" i="6"/>
  <c r="L6" i="6"/>
  <c r="J6" i="6"/>
  <c r="F6" i="6"/>
  <c r="V5" i="6"/>
  <c r="V14" i="6" s="1"/>
  <c r="V25" i="6" s="1"/>
  <c r="T5" i="6"/>
  <c r="T14" i="6" s="1"/>
  <c r="T25" i="6" s="1"/>
  <c r="R5" i="6"/>
  <c r="R14" i="6" s="1"/>
  <c r="R25" i="6" s="1"/>
  <c r="P5" i="6"/>
  <c r="P14" i="6" s="1"/>
  <c r="P25" i="6" s="1"/>
  <c r="N5" i="6"/>
  <c r="N14" i="6" s="1"/>
  <c r="N25" i="6" s="1"/>
  <c r="L5" i="6"/>
  <c r="L14" i="6" s="1"/>
  <c r="L25" i="6" s="1"/>
  <c r="J5" i="6"/>
  <c r="J14" i="6" s="1"/>
  <c r="J25" i="6" s="1"/>
  <c r="F5" i="6"/>
  <c r="F14" i="6" s="1"/>
  <c r="F25" i="6" s="1"/>
  <c r="G1" i="6"/>
  <c r="G3" i="6" s="1" a="1"/>
  <c r="G3" i="6" s="1"/>
  <c r="G4" i="6" s="1"/>
  <c r="H11" i="6" s="1"/>
  <c r="Q11" i="7"/>
  <c r="Q12" i="7"/>
  <c r="Q13" i="7"/>
  <c r="Q14" i="7"/>
  <c r="Q15" i="7"/>
  <c r="Q16" i="7"/>
  <c r="Q17" i="7"/>
  <c r="N11" i="7"/>
  <c r="N12" i="7"/>
  <c r="N13" i="7"/>
  <c r="N14" i="7"/>
  <c r="N15" i="7"/>
  <c r="N16" i="7"/>
  <c r="N17" i="7"/>
  <c r="K11" i="7"/>
  <c r="K12" i="7"/>
  <c r="K13" i="7"/>
  <c r="K14" i="7"/>
  <c r="K15" i="7"/>
  <c r="K16" i="7"/>
  <c r="K17" i="7"/>
  <c r="H11" i="7"/>
  <c r="H12" i="7"/>
  <c r="H13" i="7"/>
  <c r="H14" i="7"/>
  <c r="H15" i="7"/>
  <c r="H16" i="7"/>
  <c r="H17" i="7"/>
  <c r="E11" i="7"/>
  <c r="A11" i="7" s="1"/>
  <c r="E12" i="7"/>
  <c r="A12" i="7" s="1"/>
  <c r="E13" i="7"/>
  <c r="A13" i="7" s="1"/>
  <c r="E14" i="7"/>
  <c r="A14" i="7" s="1"/>
  <c r="E15" i="7"/>
  <c r="A15" i="7" s="1"/>
  <c r="E16" i="7"/>
  <c r="A16" i="7" s="1"/>
  <c r="E17" i="7"/>
  <c r="A17" i="7" s="1"/>
  <c r="D15" i="6"/>
  <c r="D16" i="6"/>
  <c r="D17" i="6"/>
  <c r="D18" i="6"/>
  <c r="D19" i="6"/>
  <c r="D20" i="6"/>
  <c r="D21" i="6"/>
  <c r="D22" i="6"/>
  <c r="D23" i="6"/>
  <c r="E12" i="5"/>
  <c r="F12" i="5"/>
  <c r="G12" i="5"/>
  <c r="H12" i="5"/>
  <c r="I12" i="5"/>
  <c r="E8" i="5"/>
  <c r="F8" i="5"/>
  <c r="G8" i="5"/>
  <c r="H8" i="5"/>
  <c r="I8" i="5"/>
  <c r="E15" i="5"/>
  <c r="F15" i="5"/>
  <c r="G15" i="5"/>
  <c r="H15" i="5"/>
  <c r="I15" i="5"/>
  <c r="E4" i="5"/>
  <c r="F4" i="5"/>
  <c r="G4" i="5"/>
  <c r="H4" i="5"/>
  <c r="I4" i="5"/>
  <c r="E14" i="5"/>
  <c r="F14" i="5"/>
  <c r="G14" i="5"/>
  <c r="H14" i="5"/>
  <c r="I14" i="5"/>
  <c r="E17" i="5"/>
  <c r="F17" i="5"/>
  <c r="G17" i="5"/>
  <c r="H17" i="5"/>
  <c r="I17" i="5"/>
  <c r="E10" i="5"/>
  <c r="F10" i="5"/>
  <c r="G10" i="5"/>
  <c r="H10" i="5"/>
  <c r="I10" i="5"/>
  <c r="AH23" i="6"/>
  <c r="AH22" i="6"/>
  <c r="AH21" i="6"/>
  <c r="AH20" i="6"/>
  <c r="AH19" i="6"/>
  <c r="AH18" i="6"/>
  <c r="AH17" i="6"/>
  <c r="AH16" i="6"/>
  <c r="AH15" i="6"/>
  <c r="AF23" i="6"/>
  <c r="AF22" i="6"/>
  <c r="AF21" i="6"/>
  <c r="AF20" i="6"/>
  <c r="AF19" i="6"/>
  <c r="AF18" i="6"/>
  <c r="AF17" i="6"/>
  <c r="AF16" i="6"/>
  <c r="AF15" i="6"/>
  <c r="AD23" i="6"/>
  <c r="AD22" i="6"/>
  <c r="AD21" i="6"/>
  <c r="AD20" i="6"/>
  <c r="AD19" i="6"/>
  <c r="AD18" i="6"/>
  <c r="AD17" i="6"/>
  <c r="AD16" i="6"/>
  <c r="AD15" i="6"/>
  <c r="AB23" i="6"/>
  <c r="AB22" i="6"/>
  <c r="AB21" i="6"/>
  <c r="AB20" i="6"/>
  <c r="AB19" i="6"/>
  <c r="AB18" i="6"/>
  <c r="AB17" i="6"/>
  <c r="AB16" i="6"/>
  <c r="AB15" i="6"/>
  <c r="Z23" i="6"/>
  <c r="Z22" i="6"/>
  <c r="Z21" i="6"/>
  <c r="Z20" i="6"/>
  <c r="Z19" i="6"/>
  <c r="Z18" i="6"/>
  <c r="Z17" i="6"/>
  <c r="Z16" i="6"/>
  <c r="Z15" i="6"/>
  <c r="X23" i="6"/>
  <c r="X22" i="6"/>
  <c r="X21" i="6"/>
  <c r="X20" i="6"/>
  <c r="X19" i="6"/>
  <c r="X18" i="6"/>
  <c r="X17" i="6"/>
  <c r="X16" i="6"/>
  <c r="X15" i="6"/>
  <c r="AH13" i="6"/>
  <c r="AH12" i="6"/>
  <c r="AH11" i="6"/>
  <c r="AH10" i="6"/>
  <c r="AH9" i="6"/>
  <c r="AH8" i="6"/>
  <c r="AH7" i="6"/>
  <c r="AH6" i="6"/>
  <c r="AH5" i="6"/>
  <c r="AF13" i="6"/>
  <c r="AF12" i="6"/>
  <c r="AF11" i="6"/>
  <c r="AF10" i="6"/>
  <c r="AF9" i="6"/>
  <c r="AF8" i="6"/>
  <c r="AF7" i="6"/>
  <c r="AF6" i="6"/>
  <c r="AF5" i="6"/>
  <c r="AD13" i="6"/>
  <c r="AD12" i="6"/>
  <c r="AD11" i="6"/>
  <c r="AD10" i="6"/>
  <c r="AD9" i="6"/>
  <c r="AD8" i="6"/>
  <c r="AD7" i="6"/>
  <c r="AD6" i="6"/>
  <c r="AD5" i="6"/>
  <c r="D6" i="6"/>
  <c r="D7" i="6"/>
  <c r="D8" i="6"/>
  <c r="D9" i="6"/>
  <c r="D10" i="6"/>
  <c r="D11" i="6"/>
  <c r="D12" i="6"/>
  <c r="D13" i="6"/>
  <c r="D5" i="6"/>
  <c r="EY3" i="6" l="1" a="1"/>
  <c r="EY3" i="6" s="1"/>
  <c r="EY4" i="6" s="1"/>
  <c r="FA1" i="6"/>
  <c r="ET25" i="6"/>
  <c r="DN3" i="6" a="1"/>
  <c r="DN3" i="6" s="1"/>
  <c r="DN4" i="6" s="1"/>
  <c r="DP1" i="6"/>
  <c r="DI25" i="6"/>
  <c r="CC3" i="6" a="1"/>
  <c r="CC3" i="6" s="1"/>
  <c r="CC4" i="6" s="1"/>
  <c r="CE1" i="6"/>
  <c r="BX25" i="6"/>
  <c r="AR3" i="6" a="1"/>
  <c r="AR3" i="6" s="1"/>
  <c r="AR4" i="6" s="1"/>
  <c r="AT1" i="6"/>
  <c r="AM25" i="6"/>
  <c r="H9" i="6"/>
  <c r="H10" i="6"/>
  <c r="H7" i="6"/>
  <c r="H8" i="6"/>
  <c r="H5" i="6"/>
  <c r="H6" i="6"/>
  <c r="I1" i="6"/>
  <c r="I3" i="6" s="1" a="1"/>
  <c r="I3" i="6" s="1"/>
  <c r="I4" i="6" s="1"/>
  <c r="AH24" i="6"/>
  <c r="E2" i="5" a="1"/>
  <c r="E2" i="5" s="1"/>
  <c r="Y1" i="6"/>
  <c r="E5" i="7"/>
  <c r="H10" i="7"/>
  <c r="H9" i="7"/>
  <c r="H8" i="7"/>
  <c r="H7" i="7"/>
  <c r="H6" i="7"/>
  <c r="H5" i="7"/>
  <c r="H4" i="7"/>
  <c r="H3" i="7"/>
  <c r="H2" i="7"/>
  <c r="BX72" i="3"/>
  <c r="AM72" i="3"/>
  <c r="BY72" i="3" s="1"/>
  <c r="BX71" i="3"/>
  <c r="AM71" i="3"/>
  <c r="BY71" i="3" s="1"/>
  <c r="BX70" i="3"/>
  <c r="AM70" i="3"/>
  <c r="BY70" i="3" s="1"/>
  <c r="BX69" i="3"/>
  <c r="AM69" i="3"/>
  <c r="BY69" i="3" s="1"/>
  <c r="BX68" i="3"/>
  <c r="AM68" i="3"/>
  <c r="BY68" i="3" s="1"/>
  <c r="BX67" i="3"/>
  <c r="AM67" i="3"/>
  <c r="BY67" i="3" s="1"/>
  <c r="BX66" i="3"/>
  <c r="AM66" i="3"/>
  <c r="BY66" i="3" s="1"/>
  <c r="BX65" i="3"/>
  <c r="AM65" i="3"/>
  <c r="BY65" i="3" s="1"/>
  <c r="BX64" i="3"/>
  <c r="AM64" i="3"/>
  <c r="BY64" i="3" s="1"/>
  <c r="BX62" i="3"/>
  <c r="AM62" i="3"/>
  <c r="BY62" i="3" s="1"/>
  <c r="BX57" i="3"/>
  <c r="AM57" i="3"/>
  <c r="BY57" i="3" s="1"/>
  <c r="BX56" i="3"/>
  <c r="AM56" i="3"/>
  <c r="BY56" i="3" s="1"/>
  <c r="BX55" i="3"/>
  <c r="AM55" i="3"/>
  <c r="BY55" i="3" s="1"/>
  <c r="BX54" i="3"/>
  <c r="AM54" i="3"/>
  <c r="BY54" i="3" s="1"/>
  <c r="BX53" i="3"/>
  <c r="AM53" i="3"/>
  <c r="BY53" i="3" s="1"/>
  <c r="BX52" i="3"/>
  <c r="AM52" i="3"/>
  <c r="BY52" i="3" s="1"/>
  <c r="BX51" i="3"/>
  <c r="AM51" i="3"/>
  <c r="BY51" i="3" s="1"/>
  <c r="BX50" i="3"/>
  <c r="AM50" i="3"/>
  <c r="BY50" i="3" s="1"/>
  <c r="BX49" i="3"/>
  <c r="AM49" i="3"/>
  <c r="BY49" i="3" s="1"/>
  <c r="BX47" i="3"/>
  <c r="AM47" i="3"/>
  <c r="BY47" i="3" s="1"/>
  <c r="BX42" i="3"/>
  <c r="AM42" i="3"/>
  <c r="BY42" i="3" s="1"/>
  <c r="BX41" i="3"/>
  <c r="AM41" i="3"/>
  <c r="BY41" i="3" s="1"/>
  <c r="BX40" i="3"/>
  <c r="AM40" i="3"/>
  <c r="BY40" i="3" s="1"/>
  <c r="BX39" i="3"/>
  <c r="AM39" i="3"/>
  <c r="BY39" i="3" s="1"/>
  <c r="BX38" i="3"/>
  <c r="AM38" i="3"/>
  <c r="BY38" i="3" s="1"/>
  <c r="BX37" i="3"/>
  <c r="AM37" i="3"/>
  <c r="BY37" i="3" s="1"/>
  <c r="BX36" i="3"/>
  <c r="AM36" i="3"/>
  <c r="BY36" i="3" s="1"/>
  <c r="BX35" i="3"/>
  <c r="AM35" i="3"/>
  <c r="BY35" i="3" s="1"/>
  <c r="BX34" i="3"/>
  <c r="AM34" i="3"/>
  <c r="BY34" i="3" s="1"/>
  <c r="BX32" i="3"/>
  <c r="AM32" i="3"/>
  <c r="BY32" i="3" s="1"/>
  <c r="BX27" i="3"/>
  <c r="AM27" i="3"/>
  <c r="BY27" i="3" s="1"/>
  <c r="BX26" i="3"/>
  <c r="AM26" i="3"/>
  <c r="BY26" i="3" s="1"/>
  <c r="BX25" i="3"/>
  <c r="AM25" i="3"/>
  <c r="BY25" i="3" s="1"/>
  <c r="BX24" i="3"/>
  <c r="AM24" i="3"/>
  <c r="BY24" i="3" s="1"/>
  <c r="BX23" i="3"/>
  <c r="AM23" i="3"/>
  <c r="BY23" i="3" s="1"/>
  <c r="BX22" i="3"/>
  <c r="AM22" i="3"/>
  <c r="BY22" i="3" s="1"/>
  <c r="BX21" i="3"/>
  <c r="AM21" i="3"/>
  <c r="BY21" i="3" s="1"/>
  <c r="BX20" i="3"/>
  <c r="AM20" i="3"/>
  <c r="BY20" i="3" s="1"/>
  <c r="BX19" i="3"/>
  <c r="AM19" i="3"/>
  <c r="BY19" i="3" s="1"/>
  <c r="BX17" i="3"/>
  <c r="AM17" i="3"/>
  <c r="BY17" i="3" s="1"/>
  <c r="AM5" i="3"/>
  <c r="AM6" i="3"/>
  <c r="AM7" i="3"/>
  <c r="AM8" i="3"/>
  <c r="AM9" i="3"/>
  <c r="AM10" i="3"/>
  <c r="AM11" i="3"/>
  <c r="AM12" i="3"/>
  <c r="AM2" i="3"/>
  <c r="BX5" i="3"/>
  <c r="BX6" i="3"/>
  <c r="BX7" i="3"/>
  <c r="BX8" i="3"/>
  <c r="BX9" i="3"/>
  <c r="BX10" i="3"/>
  <c r="BX11" i="3"/>
  <c r="BX12" i="3"/>
  <c r="BX4" i="3"/>
  <c r="B24" i="6"/>
  <c r="B14" i="6"/>
  <c r="E3" i="5"/>
  <c r="E9" i="5"/>
  <c r="E7" i="5"/>
  <c r="E16" i="5"/>
  <c r="E18" i="5"/>
  <c r="E13" i="5"/>
  <c r="E6" i="5"/>
  <c r="E11" i="5"/>
  <c r="E5" i="5"/>
  <c r="BX2" i="3"/>
  <c r="BY2" i="3"/>
  <c r="FA3" i="6" l="1" a="1"/>
  <c r="FA3" i="6" s="1"/>
  <c r="FA4" i="6" s="1"/>
  <c r="FC1" i="6"/>
  <c r="DP3" i="6" a="1"/>
  <c r="DP3" i="6" s="1"/>
  <c r="DP4" i="6" s="1"/>
  <c r="DR1" i="6"/>
  <c r="CE3" i="6" a="1"/>
  <c r="CE3" i="6" s="1"/>
  <c r="CE4" i="6" s="1"/>
  <c r="CG1" i="6"/>
  <c r="AT3" i="6" a="1"/>
  <c r="AT3" i="6" s="1"/>
  <c r="AT4" i="6" s="1"/>
  <c r="AV1" i="6"/>
  <c r="H14" i="6"/>
  <c r="H25" i="6" s="1"/>
  <c r="K1" i="6"/>
  <c r="K3" i="6" s="1" a="1"/>
  <c r="K3" i="6" s="1"/>
  <c r="K4" i="6" s="1"/>
  <c r="I11" i="7"/>
  <c r="I12" i="7"/>
  <c r="I13" i="7"/>
  <c r="I14" i="7"/>
  <c r="I15" i="7"/>
  <c r="I16" i="7"/>
  <c r="I17" i="7"/>
  <c r="X5" i="6"/>
  <c r="X8" i="6"/>
  <c r="X6" i="6"/>
  <c r="X9" i="6"/>
  <c r="X7" i="6"/>
  <c r="X11" i="6"/>
  <c r="X10" i="6"/>
  <c r="X13" i="6"/>
  <c r="X12" i="6"/>
  <c r="Z8" i="6"/>
  <c r="Z7" i="6"/>
  <c r="Z13" i="6"/>
  <c r="Z9" i="6"/>
  <c r="Z6" i="6"/>
  <c r="Z11" i="6"/>
  <c r="Z10" i="6"/>
  <c r="Z5" i="6"/>
  <c r="Z12" i="6"/>
  <c r="Q9" i="7"/>
  <c r="AD24" i="6"/>
  <c r="AB24" i="6"/>
  <c r="K7" i="7"/>
  <c r="K8" i="7"/>
  <c r="K9" i="7"/>
  <c r="K10" i="7"/>
  <c r="K6" i="7"/>
  <c r="AF24" i="6"/>
  <c r="N6" i="7"/>
  <c r="N7" i="7"/>
  <c r="N8" i="7"/>
  <c r="N9" i="7"/>
  <c r="K4" i="7"/>
  <c r="N5" i="7"/>
  <c r="Q6" i="7"/>
  <c r="Q7" i="7"/>
  <c r="Q5" i="7"/>
  <c r="AA1" i="6"/>
  <c r="Q3" i="7"/>
  <c r="K2" i="7"/>
  <c r="K3" i="7"/>
  <c r="Q10" i="7"/>
  <c r="N3" i="7"/>
  <c r="N2" i="7"/>
  <c r="Q2" i="7"/>
  <c r="Q8" i="7"/>
  <c r="N10" i="7"/>
  <c r="K5" i="7"/>
  <c r="N4" i="7"/>
  <c r="Q4" i="7"/>
  <c r="BY12" i="3"/>
  <c r="BY11" i="3"/>
  <c r="BY10" i="3"/>
  <c r="BY9" i="3"/>
  <c r="BY8" i="3"/>
  <c r="BY7" i="3"/>
  <c r="BY6" i="3"/>
  <c r="BY5" i="3"/>
  <c r="CA19" i="3"/>
  <c r="CA20" i="3"/>
  <c r="CA21" i="3"/>
  <c r="CA22" i="3"/>
  <c r="CA23" i="3"/>
  <c r="CA24" i="3"/>
  <c r="CA25" i="3"/>
  <c r="CA26" i="3"/>
  <c r="CA27" i="3"/>
  <c r="CA34" i="3"/>
  <c r="CA35" i="3"/>
  <c r="CA36" i="3"/>
  <c r="CA37" i="3"/>
  <c r="CA38" i="3"/>
  <c r="CA39" i="3"/>
  <c r="CA40" i="3"/>
  <c r="CA41" i="3"/>
  <c r="CA42" i="3"/>
  <c r="CA49" i="3"/>
  <c r="CA50" i="3"/>
  <c r="CA51" i="3"/>
  <c r="CA52" i="3"/>
  <c r="CA53" i="3"/>
  <c r="CA54" i="3"/>
  <c r="CA55" i="3"/>
  <c r="CA56" i="3"/>
  <c r="CA57" i="3"/>
  <c r="CA64" i="3"/>
  <c r="CA65" i="3"/>
  <c r="CA66" i="3"/>
  <c r="CA67" i="3"/>
  <c r="CA68" i="3"/>
  <c r="CA69" i="3"/>
  <c r="CA70" i="3"/>
  <c r="CA71" i="3"/>
  <c r="CA72" i="3"/>
  <c r="I10" i="7"/>
  <c r="I9" i="7"/>
  <c r="I8" i="7"/>
  <c r="I7" i="7"/>
  <c r="I6" i="7"/>
  <c r="I5" i="7"/>
  <c r="I4" i="7"/>
  <c r="I3" i="7"/>
  <c r="AM4" i="3"/>
  <c r="BY4" i="3" s="1"/>
  <c r="B25" i="6"/>
  <c r="FC3" i="6" l="1" a="1"/>
  <c r="FC3" i="6" s="1"/>
  <c r="FC4" i="6" s="1"/>
  <c r="FE1" i="6"/>
  <c r="DR3" i="6" a="1"/>
  <c r="DR3" i="6" s="1"/>
  <c r="DR4" i="6" s="1"/>
  <c r="DT1" i="6"/>
  <c r="CG3" i="6" a="1"/>
  <c r="CG3" i="6" s="1"/>
  <c r="CG4" i="6" s="1"/>
  <c r="CI1" i="6"/>
  <c r="AV3" i="6" a="1"/>
  <c r="AV3" i="6" s="1"/>
  <c r="AV4" i="6" s="1"/>
  <c r="AX1" i="6"/>
  <c r="M1" i="6"/>
  <c r="M3" i="6" s="1" a="1"/>
  <c r="M3" i="6" s="1"/>
  <c r="M4" i="6" s="1"/>
  <c r="R11" i="7"/>
  <c r="R12" i="7"/>
  <c r="R13" i="7"/>
  <c r="R14" i="7"/>
  <c r="R15" i="7"/>
  <c r="R16" i="7"/>
  <c r="R17" i="7"/>
  <c r="O11" i="7"/>
  <c r="O12" i="7"/>
  <c r="O13" i="7"/>
  <c r="O14" i="7"/>
  <c r="O15" i="7"/>
  <c r="O16" i="7"/>
  <c r="O17" i="7"/>
  <c r="L11" i="7"/>
  <c r="L12" i="7"/>
  <c r="L13" i="7"/>
  <c r="L14" i="7"/>
  <c r="L15" i="7"/>
  <c r="L16" i="7"/>
  <c r="L17" i="7"/>
  <c r="Z24" i="6"/>
  <c r="Z14" i="6"/>
  <c r="X14" i="6"/>
  <c r="X24" i="6"/>
  <c r="L3" i="7"/>
  <c r="L5" i="7"/>
  <c r="L10" i="7"/>
  <c r="O10" i="7"/>
  <c r="AC1" i="6"/>
  <c r="R5" i="7"/>
  <c r="R10" i="7"/>
  <c r="O9" i="7"/>
  <c r="R8" i="7"/>
  <c r="L4" i="7"/>
  <c r="L6" i="7"/>
  <c r="L8" i="7"/>
  <c r="O7" i="7"/>
  <c r="O2" i="7"/>
  <c r="L7" i="7"/>
  <c r="L9" i="7"/>
  <c r="R7" i="7"/>
  <c r="O3" i="7"/>
  <c r="O5" i="7"/>
  <c r="O6" i="7"/>
  <c r="O4" i="7"/>
  <c r="O8" i="7"/>
  <c r="R9" i="7"/>
  <c r="R4" i="7"/>
  <c r="R3" i="7"/>
  <c r="R6" i="7"/>
  <c r="CA4" i="3"/>
  <c r="R2" i="7"/>
  <c r="L2" i="7"/>
  <c r="I2" i="7"/>
  <c r="CA5" i="3"/>
  <c r="CA6" i="3"/>
  <c r="CA7" i="3"/>
  <c r="CA8" i="3"/>
  <c r="CA9" i="3"/>
  <c r="CA10" i="3"/>
  <c r="CA11" i="3"/>
  <c r="CA12" i="3"/>
  <c r="FE3" i="6" l="1" a="1"/>
  <c r="FE3" i="6" s="1"/>
  <c r="FE4" i="6" s="1"/>
  <c r="FG1" i="6"/>
  <c r="DT3" i="6" a="1"/>
  <c r="DT3" i="6" s="1"/>
  <c r="DT4" i="6" s="1"/>
  <c r="DV1" i="6"/>
  <c r="CI3" i="6" a="1"/>
  <c r="CI3" i="6" s="1"/>
  <c r="CI4" i="6" s="1"/>
  <c r="CK1" i="6"/>
  <c r="AX3" i="6" a="1"/>
  <c r="AX3" i="6" s="1"/>
  <c r="AX4" i="6" s="1"/>
  <c r="AZ1" i="6"/>
  <c r="O1" i="6"/>
  <c r="O3" i="6" s="1" a="1"/>
  <c r="O3" i="6" s="1"/>
  <c r="O4" i="6" s="1"/>
  <c r="Z25" i="6"/>
  <c r="E3" i="7" s="1"/>
  <c r="X25" i="6"/>
  <c r="E2" i="7" s="1"/>
  <c r="A2" i="7" s="1"/>
  <c r="AE1" i="6"/>
  <c r="A5" i="7"/>
  <c r="FG3" i="6" l="1" a="1"/>
  <c r="FG3" i="6" s="1"/>
  <c r="FG4" i="6" s="1"/>
  <c r="FI1" i="6"/>
  <c r="DV3" i="6" a="1"/>
  <c r="DV3" i="6" s="1"/>
  <c r="DV4" i="6" s="1"/>
  <c r="DX1" i="6"/>
  <c r="CK3" i="6" a="1"/>
  <c r="CK3" i="6" s="1"/>
  <c r="CK4" i="6" s="1"/>
  <c r="CM1" i="6"/>
  <c r="AZ3" i="6" a="1"/>
  <c r="AZ3" i="6" s="1"/>
  <c r="AZ4" i="6" s="1"/>
  <c r="BB1" i="6"/>
  <c r="Q1" i="6"/>
  <c r="Q3" i="6" s="1" a="1"/>
  <c r="Q3" i="6" s="1"/>
  <c r="Q4" i="6" s="1"/>
  <c r="AB11" i="6"/>
  <c r="AB6" i="6"/>
  <c r="AB5" i="6"/>
  <c r="AB10" i="6"/>
  <c r="AB9" i="6"/>
  <c r="AB8" i="6"/>
  <c r="AB13" i="6"/>
  <c r="AB12" i="6"/>
  <c r="AB7" i="6"/>
  <c r="A3" i="7"/>
  <c r="AG1" i="6"/>
  <c r="FI3" i="6" l="1" a="1"/>
  <c r="FI3" i="6" s="1"/>
  <c r="FI4" i="6" s="1"/>
  <c r="FK1" i="6"/>
  <c r="DX3" i="6" a="1"/>
  <c r="DX3" i="6" s="1"/>
  <c r="DX4" i="6" s="1"/>
  <c r="DZ1" i="6"/>
  <c r="CM3" i="6" a="1"/>
  <c r="CM3" i="6" s="1"/>
  <c r="CM4" i="6" s="1"/>
  <c r="CO1" i="6"/>
  <c r="BB3" i="6" a="1"/>
  <c r="BB3" i="6" s="1"/>
  <c r="BB4" i="6" s="1"/>
  <c r="BD1" i="6"/>
  <c r="S1" i="6"/>
  <c r="S3" i="6" s="1" a="1"/>
  <c r="S3" i="6" s="1"/>
  <c r="S4" i="6" s="1"/>
  <c r="AD14" i="6"/>
  <c r="AD25" i="6" s="1"/>
  <c r="AB14" i="6"/>
  <c r="AB25" i="6" s="1"/>
  <c r="E4" i="7" s="1"/>
  <c r="AI1" i="6"/>
  <c r="FK3" i="6" l="1" a="1"/>
  <c r="FK3" i="6" s="1"/>
  <c r="FK4" i="6" s="1"/>
  <c r="FM1" i="6"/>
  <c r="FM3" i="6" s="1" a="1"/>
  <c r="FM3" i="6" s="1"/>
  <c r="FM4" i="6" s="1"/>
  <c r="DZ3" i="6" a="1"/>
  <c r="DZ3" i="6" s="1"/>
  <c r="DZ4" i="6" s="1"/>
  <c r="EB1" i="6"/>
  <c r="EB3" i="6" s="1" a="1"/>
  <c r="EB3" i="6" s="1"/>
  <c r="EB4" i="6" s="1"/>
  <c r="CO3" i="6" a="1"/>
  <c r="CO3" i="6" s="1"/>
  <c r="CO4" i="6" s="1"/>
  <c r="CQ1" i="6"/>
  <c r="CQ3" i="6" s="1" a="1"/>
  <c r="CQ3" i="6" s="1"/>
  <c r="CQ4" i="6" s="1"/>
  <c r="BD3" i="6" a="1"/>
  <c r="BD3" i="6" s="1"/>
  <c r="BD4" i="6" s="1"/>
  <c r="BF1" i="6"/>
  <c r="BF3" i="6" s="1" a="1"/>
  <c r="BF3" i="6" s="1"/>
  <c r="BF4" i="6" s="1"/>
  <c r="U1" i="6"/>
  <c r="U3" i="6" s="1" a="1"/>
  <c r="U3" i="6" s="1"/>
  <c r="U4" i="6" s="1"/>
  <c r="AF14" i="6"/>
  <c r="AF25" i="6" s="1"/>
  <c r="E6" i="7" s="1"/>
  <c r="A4" i="7"/>
  <c r="A6" i="7" l="1"/>
  <c r="AH14" i="6"/>
  <c r="AH25" i="6" s="1"/>
  <c r="E7" i="7" s="1"/>
  <c r="A7" i="7" l="1"/>
  <c r="E8" i="7"/>
  <c r="A8" i="7" s="1"/>
  <c r="E9" i="7" l="1"/>
  <c r="A9" i="7" s="1"/>
  <c r="E10" i="7" l="1"/>
  <c r="A10" i="7" s="1"/>
  <c r="F11" i="7" l="1"/>
  <c r="F12" i="7"/>
  <c r="F13" i="7"/>
  <c r="F14" i="7"/>
  <c r="F15" i="7"/>
  <c r="F16" i="7"/>
  <c r="F17" i="7"/>
  <c r="F9" i="7"/>
  <c r="F6" i="5" s="1"/>
  <c r="F8" i="7"/>
  <c r="F13" i="5" s="1"/>
  <c r="G13" i="5" s="1"/>
  <c r="F4" i="7"/>
  <c r="F9" i="5" s="1"/>
  <c r="F7" i="7"/>
  <c r="F18" i="5" s="1"/>
  <c r="F2" i="7"/>
  <c r="F5" i="5" s="1"/>
  <c r="G5" i="5" s="1"/>
  <c r="H5" i="5" s="1"/>
  <c r="I5" i="5" s="1"/>
  <c r="F5" i="7"/>
  <c r="F7" i="5" s="1"/>
  <c r="F3" i="7"/>
  <c r="F3" i="5" s="1"/>
  <c r="G3" i="5" s="1"/>
  <c r="F6" i="7"/>
  <c r="F16" i="5" s="1"/>
  <c r="G16" i="5" s="1"/>
  <c r="F10" i="7"/>
  <c r="F11" i="5" s="1"/>
  <c r="G11" i="5" s="1"/>
  <c r="H11" i="5" s="1"/>
  <c r="I11" i="5" s="1"/>
  <c r="G6" i="5"/>
  <c r="B2" i="7"/>
  <c r="B8" i="7"/>
  <c r="B10" i="7" l="1"/>
  <c r="B11" i="7"/>
  <c r="B12" i="7"/>
  <c r="B13" i="7"/>
  <c r="B14" i="7"/>
  <c r="B15" i="7"/>
  <c r="B16" i="7"/>
  <c r="B17" i="7"/>
  <c r="G9" i="5"/>
  <c r="B6" i="7"/>
  <c r="B4" i="7"/>
  <c r="G18" i="5"/>
  <c r="H18" i="5" s="1"/>
  <c r="B5" i="7"/>
  <c r="B7" i="7"/>
  <c r="G7" i="5"/>
  <c r="B9" i="7"/>
  <c r="B3" i="7"/>
  <c r="H3" i="5"/>
  <c r="H13" i="5"/>
  <c r="H16" i="5"/>
  <c r="H6" i="5"/>
  <c r="H9" i="5" l="1"/>
  <c r="H7" i="5"/>
  <c r="I9" i="5"/>
  <c r="I3" i="5"/>
  <c r="I6" i="5"/>
  <c r="I18" i="5"/>
  <c r="I16" i="5"/>
  <c r="I13" i="5"/>
  <c r="I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Perre</author>
  </authors>
  <commentList>
    <comment ref="D2" authorId="0" shapeId="0" xr:uid="{34E0121F-26BD-4476-9E7B-397424889AAF}">
      <text>
        <r>
          <rPr>
            <sz val="11"/>
            <color theme="1"/>
            <rFont val="Aptos Narrow"/>
            <family val="2"/>
            <scheme val="minor"/>
          </rPr>
          <t>Anthony Perre:
GA Handicap as of 11:59pm Saturday 14th of February.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<sst xmlns="http://schemas.openxmlformats.org/spreadsheetml/2006/main" count="423" uniqueCount="100">
  <si>
    <t>Total</t>
  </si>
  <si>
    <t>Position</t>
  </si>
  <si>
    <t>Player</t>
  </si>
  <si>
    <t>Rd.1</t>
  </si>
  <si>
    <t>Rd.2</t>
  </si>
  <si>
    <t>Rd.3</t>
  </si>
  <si>
    <t>Rd.4</t>
  </si>
  <si>
    <t>Rd.5</t>
  </si>
  <si>
    <t>Total Rounds:</t>
  </si>
  <si>
    <t>Golflink No.</t>
  </si>
  <si>
    <t>Leaderboard</t>
  </si>
  <si>
    <t>GA</t>
  </si>
  <si>
    <t>Total +/-</t>
  </si>
  <si>
    <t>Attiwill, Scott</t>
  </si>
  <si>
    <t>Trawler</t>
  </si>
  <si>
    <t>Hoy, John</t>
  </si>
  <si>
    <t>Johnny</t>
  </si>
  <si>
    <t>Ireland, Kev</t>
  </si>
  <si>
    <t>Kebbie</t>
  </si>
  <si>
    <t>Lay, Greg</t>
  </si>
  <si>
    <t>Greg</t>
  </si>
  <si>
    <t>Leeson, Chris</t>
  </si>
  <si>
    <t>Leeso</t>
  </si>
  <si>
    <t>Maher, Joel</t>
  </si>
  <si>
    <t>Joel</t>
  </si>
  <si>
    <t>Marshall, Jayme</t>
  </si>
  <si>
    <t>Jamy</t>
  </si>
  <si>
    <t>McDowell, Steve</t>
  </si>
  <si>
    <t>Steve</t>
  </si>
  <si>
    <t>McEwan, Paul</t>
  </si>
  <si>
    <t>Wormy</t>
  </si>
  <si>
    <t>O'Callaghan. Joc</t>
  </si>
  <si>
    <t>Joc</t>
  </si>
  <si>
    <t>Perre, Anthony</t>
  </si>
  <si>
    <t>PB</t>
  </si>
  <si>
    <t>Rettke, Butch</t>
  </si>
  <si>
    <t>Butcher</t>
  </si>
  <si>
    <t>Royan, Damien</t>
  </si>
  <si>
    <t>Damo</t>
  </si>
  <si>
    <t>Tompkins, Lawrie</t>
  </si>
  <si>
    <t>Loz</t>
  </si>
  <si>
    <t>Wesche, Gavin</t>
  </si>
  <si>
    <t>Gav</t>
  </si>
  <si>
    <t>Zillfleisch, David</t>
  </si>
  <si>
    <t>Zilly</t>
  </si>
  <si>
    <t>Daily Handicap Adjustment</t>
  </si>
  <si>
    <t>Amount</t>
  </si>
  <si>
    <t>Eagle Ridge Golf Course</t>
  </si>
  <si>
    <t>Moonah Links - Open Course</t>
  </si>
  <si>
    <t>Monrington Golf Club</t>
  </si>
  <si>
    <t>The Dunes Golf Links</t>
  </si>
  <si>
    <t>St Andrew Beach Golf Course</t>
  </si>
  <si>
    <t>Par</t>
  </si>
  <si>
    <t>SI</t>
  </si>
  <si>
    <t>Result</t>
  </si>
  <si>
    <t>Daily H'Cap</t>
  </si>
  <si>
    <t>Out</t>
  </si>
  <si>
    <t>In</t>
  </si>
  <si>
    <t>Cobram Barooga Golf Club</t>
  </si>
  <si>
    <t>Round 1.</t>
  </si>
  <si>
    <t>H1R</t>
  </si>
  <si>
    <t>H2R</t>
  </si>
  <si>
    <t>H3R</t>
  </si>
  <si>
    <t>H4R</t>
  </si>
  <si>
    <t>H5R</t>
  </si>
  <si>
    <t>H6R</t>
  </si>
  <si>
    <t>H8R</t>
  </si>
  <si>
    <t>H9R</t>
  </si>
  <si>
    <t>H10R</t>
  </si>
  <si>
    <t>H11R</t>
  </si>
  <si>
    <t>H12R</t>
  </si>
  <si>
    <t>H13R</t>
  </si>
  <si>
    <t>H14R</t>
  </si>
  <si>
    <t>H15R</t>
  </si>
  <si>
    <t>H16R</t>
  </si>
  <si>
    <t>H17R</t>
  </si>
  <si>
    <t>H18R</t>
  </si>
  <si>
    <t>Daily HC</t>
  </si>
  <si>
    <t>Type</t>
  </si>
  <si>
    <t>Score</t>
  </si>
  <si>
    <t>Points</t>
  </si>
  <si>
    <t>DHC</t>
  </si>
  <si>
    <t>Albatross</t>
  </si>
  <si>
    <t>Stroke Index</t>
  </si>
  <si>
    <t>-</t>
  </si>
  <si>
    <t>0 Point</t>
  </si>
  <si>
    <t>Eagle</t>
  </si>
  <si>
    <t>Birdie</t>
  </si>
  <si>
    <t>Chol</t>
  </si>
  <si>
    <t>Jamay</t>
  </si>
  <si>
    <t>Bogey</t>
  </si>
  <si>
    <t>Double Bogey</t>
  </si>
  <si>
    <t>Squirter</t>
  </si>
  <si>
    <t>Club Tocumwal</t>
  </si>
  <si>
    <t>Round 2.</t>
  </si>
  <si>
    <t>Round 3.</t>
  </si>
  <si>
    <t>Yarrawonga Mulwala Golf Club Resort</t>
  </si>
  <si>
    <t>Round 4.</t>
  </si>
  <si>
    <t>Black Bull Golf Course</t>
  </si>
  <si>
    <t>Final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</si>
</sst>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&quot;Round:&quot;\ 0"/>
    <numFmt numFmtId="166" formatCode="&quot;Rd. &quot;0"/>
    <numFmt numFmtId="167" formatCode="_-* #,##0_-;\-* #,##0_-;_-* &quot;-&quot;??_-;_-@_-"/>
    <numFmt numFmtId="168" formatCode=";;;"/>
    <numFmt numFmtId="169" formatCode="0;;;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0"/>
      <name val="Aptos"/>
      <charset val="1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2" tint="-0.24994659260841701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24994659260841701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 textRotation="90"/>
    </xf>
    <xf numFmtId="0" fontId="2" fillId="2" borderId="19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1" fontId="7" fillId="0" borderId="23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2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7" fillId="0" borderId="27" xfId="0" applyNumberFormat="1" applyFont="1" applyBorder="1" applyAlignment="1">
      <alignment horizontal="center"/>
    </xf>
    <xf numFmtId="1" fontId="7" fillId="0" borderId="28" xfId="0" applyNumberFormat="1" applyFont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7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0" fontId="0" fillId="0" borderId="35" xfId="0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6" fontId="1" fillId="5" borderId="3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 textRotation="90"/>
    </xf>
    <xf numFmtId="0" fontId="1" fillId="2" borderId="18" xfId="0" applyFont="1" applyFill="1" applyBorder="1" applyAlignment="1">
      <alignment horizontal="center" vertical="center" textRotation="90"/>
    </xf>
    <xf numFmtId="0" fontId="1" fillId="2" borderId="27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6" borderId="2" xfId="0" applyFont="1" applyFill="1" applyBorder="1" applyAlignment="1">
      <alignment horizontal="center" vertical="center" textRotation="90"/>
    </xf>
    <xf numFmtId="0" fontId="1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 vertical="center" textRotation="90"/>
    </xf>
    <xf numFmtId="0" fontId="1" fillId="2" borderId="38" xfId="0" applyFont="1" applyFill="1" applyBorder="1" applyAlignment="1">
      <alignment horizontal="center" vertical="center" textRotation="90"/>
    </xf>
    <xf numFmtId="0" fontId="1" fillId="2" borderId="39" xfId="0" applyFont="1" applyFill="1" applyBorder="1" applyAlignment="1">
      <alignment horizontal="center" vertical="center" textRotation="90"/>
    </xf>
    <xf numFmtId="0" fontId="1" fillId="2" borderId="31" xfId="0" applyFont="1" applyFill="1" applyBorder="1" applyAlignment="1">
      <alignment horizontal="center" vertical="center" textRotation="90"/>
    </xf>
    <xf numFmtId="0" fontId="1" fillId="2" borderId="40" xfId="0" applyFont="1" applyFill="1" applyBorder="1" applyAlignment="1">
      <alignment horizontal="left" vertical="center"/>
    </xf>
    <xf numFmtId="0" fontId="0" fillId="0" borderId="41" xfId="0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 textRotation="90"/>
    </xf>
    <xf numFmtId="0" fontId="10" fillId="0" borderId="37" xfId="0" applyFont="1" applyBorder="1" applyAlignment="1">
      <alignment horizontal="center" vertical="center"/>
    </xf>
    <xf numFmtId="169" fontId="0" fillId="6" borderId="1" xfId="0" applyNumberFormat="1" applyFill="1" applyBorder="1" applyAlignment="1">
      <alignment horizontal="center"/>
    </xf>
    <xf numFmtId="169" fontId="0" fillId="6" borderId="23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" xfId="0" applyBorder="1"/>
    <xf numFmtId="0" fontId="1" fillId="8" borderId="1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6">
    <dxf>
      <font>
        <color theme="6"/>
      </font>
      <fill>
        <patternFill patternType="solid">
          <bgColor theme="6" tint="0.39997558519241921"/>
        </patternFill>
      </fill>
    </dxf>
    <dxf>
      <font>
        <color theme="8"/>
      </font>
      <fill>
        <patternFill patternType="solid">
          <bgColor theme="8" tint="0.39997558519241921"/>
        </patternFill>
      </fill>
    </dxf>
    <dxf>
      <font>
        <color theme="5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6"/>
      </font>
      <fill>
        <patternFill patternType="solid">
          <bgColor theme="6" tint="0.39997558519241921"/>
        </patternFill>
      </fill>
    </dxf>
    <dxf>
      <font>
        <color theme="8"/>
      </font>
      <fill>
        <patternFill patternType="solid">
          <bgColor theme="8" tint="0.39997558519241921"/>
        </patternFill>
      </fill>
    </dxf>
    <dxf>
      <font>
        <color theme="5"/>
      </font>
      <fill>
        <patternFill patternType="solid">
          <bgColor rgb="FFFFC000"/>
        </patternFill>
      </fill>
    </dxf>
  </dxfs>
  <tableStyles count="0" defaultTableStyle="TableStyleMedium2" defaultPivotStyle="PivotStyleMedium9"/>
  <colors>
    <mruColors>
      <color rgb="FFF5EF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2CB1-863B-4702-B163-251D9FA3BC5A}">
  <dimension ref="A1:AA17"/>
  <sheetViews>
    <sheetView workbookViewId="0">
      <selection activeCell="I2" sqref="I2"/>
    </sheetView>
  </sheetViews>
  <sheetFormatPr defaultRowHeight="31.5"/>
  <cols>
    <col min="1" max="1" width="35.7109375" style="60" customWidth="1"/>
    <col min="2" max="2" width="16" style="60" customWidth="1"/>
    <col min="3" max="3" width="9.140625" style="60"/>
    <col min="4" max="4" width="15.85546875" style="60" bestFit="1" customWidth="1"/>
    <col min="5" max="5" width="10" style="64" bestFit="1" customWidth="1"/>
    <col min="6" max="6" width="16.85546875" style="64" bestFit="1" customWidth="1"/>
    <col min="7" max="7" width="3.28515625" style="64" customWidth="1"/>
    <col min="8" max="8" width="10" style="64" bestFit="1" customWidth="1"/>
    <col min="9" max="9" width="16.85546875" style="64" bestFit="1" customWidth="1"/>
    <col min="10" max="10" width="3.28515625" style="64" customWidth="1"/>
    <col min="11" max="11" width="10" style="64" bestFit="1" customWidth="1"/>
    <col min="12" max="12" width="16.85546875" style="64" bestFit="1" customWidth="1"/>
    <col min="13" max="13" width="3.28515625" style="64" customWidth="1"/>
    <col min="14" max="14" width="10" style="64" bestFit="1" customWidth="1"/>
    <col min="15" max="15" width="16.85546875" style="64" bestFit="1" customWidth="1"/>
    <col min="16" max="16" width="3.28515625" style="64" customWidth="1"/>
    <col min="17" max="17" width="10" style="64" bestFit="1" customWidth="1"/>
    <col min="18" max="18" width="16.85546875" style="64" bestFit="1" customWidth="1"/>
    <col min="19" max="19" width="3.28515625" style="64" customWidth="1"/>
    <col min="20" max="20" width="10.85546875" style="60" bestFit="1" customWidth="1"/>
    <col min="21" max="21" width="16.85546875" style="60" bestFit="1" customWidth="1"/>
    <col min="22" max="27" width="5.7109375" style="60" customWidth="1"/>
    <col min="28" max="16384" width="9.140625" style="60"/>
  </cols>
  <sheetData>
    <row r="1" spans="1:27">
      <c r="A1" s="78" t="s">
        <v>0</v>
      </c>
      <c r="B1" s="77" t="s">
        <v>1</v>
      </c>
      <c r="D1" s="68" t="s">
        <v>2</v>
      </c>
      <c r="E1" s="58" t="s">
        <v>3</v>
      </c>
      <c r="F1" s="69" t="s">
        <v>1</v>
      </c>
      <c r="G1" s="65"/>
      <c r="H1" s="70" t="s">
        <v>4</v>
      </c>
      <c r="I1" s="71" t="s">
        <v>1</v>
      </c>
      <c r="J1" s="65"/>
      <c r="K1" s="58" t="s">
        <v>5</v>
      </c>
      <c r="L1" s="69" t="s">
        <v>1</v>
      </c>
      <c r="M1" s="65"/>
      <c r="N1" s="70" t="s">
        <v>6</v>
      </c>
      <c r="O1" s="71" t="s">
        <v>1</v>
      </c>
      <c r="P1" s="76"/>
      <c r="Q1" s="68" t="s">
        <v>7</v>
      </c>
      <c r="R1" s="69" t="s">
        <v>1</v>
      </c>
      <c r="S1" s="65"/>
      <c r="V1" s="59"/>
      <c r="W1" s="59"/>
      <c r="X1" s="59"/>
      <c r="Y1" s="59"/>
      <c r="Z1" s="59"/>
      <c r="AA1" s="59"/>
    </row>
    <row r="2" spans="1:27">
      <c r="A2" s="66" t="e">
        <f>SUM(E2+H2+K2+N2+Q2)</f>
        <v>#REF!</v>
      </c>
      <c r="B2" s="61" t="e">
        <f>RANK(A2, $A$2:$A$10, 0)</f>
        <v>#REF!</v>
      </c>
      <c r="D2" s="74"/>
      <c r="E2" s="72">
        <f>'Daily Scoring'!X25</f>
        <v>0</v>
      </c>
      <c r="F2" s="61" t="e">
        <f>RANK(E2,$E$2:$E$10,0)</f>
        <v>#REF!</v>
      </c>
      <c r="G2" s="62"/>
      <c r="H2" s="72">
        <f>'Daily Scoring'!AQ25</f>
        <v>0</v>
      </c>
      <c r="I2" s="61">
        <f>RANK(H2,$H$2:$H$10,0)</f>
        <v>1</v>
      </c>
      <c r="J2" s="62"/>
      <c r="K2" s="72" t="e">
        <f>'Daily Scoring'!#REF!</f>
        <v>#REF!</v>
      </c>
      <c r="L2" s="61" t="e">
        <f>RANK(K2,$K$2:$K$10,0)</f>
        <v>#REF!</v>
      </c>
      <c r="M2" s="62"/>
      <c r="N2" s="72" t="e">
        <f>'Daily Scoring'!#REF!</f>
        <v>#REF!</v>
      </c>
      <c r="O2" s="61" t="e">
        <f>RANK(N2,$N$2:$N$10,0)</f>
        <v>#REF!</v>
      </c>
      <c r="P2" s="62"/>
      <c r="Q2" s="66" t="e">
        <f>'Daily Scoring'!#REF!</f>
        <v>#REF!</v>
      </c>
      <c r="R2" s="61" t="e">
        <f>RANK(Q2,$Q$2:$Q$10,0)</f>
        <v>#REF!</v>
      </c>
      <c r="S2" s="62"/>
      <c r="V2" s="62"/>
      <c r="W2" s="62"/>
      <c r="X2" s="62"/>
      <c r="Y2" s="62"/>
      <c r="Z2" s="62"/>
      <c r="AA2" s="62"/>
    </row>
    <row r="3" spans="1:27">
      <c r="A3" s="66" t="e">
        <f>SUM(E3+H3+K3+N3+Q3)</f>
        <v>#REF!</v>
      </c>
      <c r="B3" s="61" t="e">
        <f>RANK(A3, $A$2:$A$10, 0)</f>
        <v>#REF!</v>
      </c>
      <c r="D3" s="74"/>
      <c r="E3" s="72">
        <f>'Daily Scoring'!Z25</f>
        <v>0</v>
      </c>
      <c r="F3" s="61" t="e">
        <f t="shared" ref="F3:F10" si="0">RANK(E3,$E$2:$E$10,0)</f>
        <v>#REF!</v>
      </c>
      <c r="G3" s="62"/>
      <c r="H3" s="72">
        <f>'Daily Scoring'!AS25</f>
        <v>0</v>
      </c>
      <c r="I3" s="61">
        <f t="shared" ref="I3:I10" si="1">RANK(H3,$H$2:$H$10,0)</f>
        <v>1</v>
      </c>
      <c r="J3" s="62"/>
      <c r="K3" s="72" t="e">
        <f>'Daily Scoring'!#REF!</f>
        <v>#REF!</v>
      </c>
      <c r="L3" s="61" t="e">
        <f t="shared" ref="L3:L10" si="2">RANK(K3,$K$2:$K$10,0)</f>
        <v>#REF!</v>
      </c>
      <c r="M3" s="62"/>
      <c r="N3" s="72" t="e">
        <f>'Daily Scoring'!#REF!</f>
        <v>#REF!</v>
      </c>
      <c r="O3" s="61" t="e">
        <f t="shared" ref="O3:O10" si="3">RANK(N3,$N$2:$N$10,0)</f>
        <v>#REF!</v>
      </c>
      <c r="P3" s="62"/>
      <c r="Q3" s="66" t="e">
        <f>'Daily Scoring'!#REF!</f>
        <v>#REF!</v>
      </c>
      <c r="R3" s="61" t="e">
        <f t="shared" ref="R3:R10" si="4">RANK(Q3,$Q$2:$Q$10,0)</f>
        <v>#REF!</v>
      </c>
      <c r="S3" s="62"/>
      <c r="V3" s="62"/>
      <c r="W3" s="62"/>
      <c r="X3" s="62"/>
      <c r="Y3" s="62"/>
      <c r="Z3" s="62"/>
      <c r="AA3" s="62"/>
    </row>
    <row r="4" spans="1:27">
      <c r="A4" s="66" t="e">
        <f>SUM(E4+H4+K4+N4+Q4)</f>
        <v>#REF!</v>
      </c>
      <c r="B4" s="61" t="e">
        <f>RANK(A4, $A$2:$A$10, 0)</f>
        <v>#REF!</v>
      </c>
      <c r="D4" s="74"/>
      <c r="E4" s="72">
        <f>'Daily Scoring'!AB25</f>
        <v>0</v>
      </c>
      <c r="F4" s="61" t="e">
        <f t="shared" si="0"/>
        <v>#REF!</v>
      </c>
      <c r="G4" s="62"/>
      <c r="H4" s="72">
        <f>'Daily Scoring'!AU25</f>
        <v>0</v>
      </c>
      <c r="I4" s="61">
        <f t="shared" si="1"/>
        <v>1</v>
      </c>
      <c r="J4" s="62"/>
      <c r="K4" s="72" t="e">
        <f>'Daily Scoring'!#REF!</f>
        <v>#REF!</v>
      </c>
      <c r="L4" s="61" t="e">
        <f t="shared" si="2"/>
        <v>#REF!</v>
      </c>
      <c r="M4" s="62"/>
      <c r="N4" s="72" t="e">
        <f>'Daily Scoring'!#REF!</f>
        <v>#REF!</v>
      </c>
      <c r="O4" s="61" t="e">
        <f t="shared" si="3"/>
        <v>#REF!</v>
      </c>
      <c r="P4" s="62"/>
      <c r="Q4" s="66" t="e">
        <f>'Daily Scoring'!#REF!</f>
        <v>#REF!</v>
      </c>
      <c r="R4" s="61" t="e">
        <f t="shared" si="4"/>
        <v>#REF!</v>
      </c>
      <c r="S4" s="62"/>
      <c r="V4" s="62"/>
      <c r="W4" s="62"/>
      <c r="X4" s="62"/>
      <c r="Y4" s="62"/>
      <c r="Z4" s="62"/>
      <c r="AA4" s="62"/>
    </row>
    <row r="5" spans="1:27">
      <c r="A5" s="66" t="e">
        <f>SUM(E5+H5+K5+N5+Q5)</f>
        <v>#REF!</v>
      </c>
      <c r="B5" s="61" t="e">
        <f>RANK(A5, $A$2:$A$10, 0)</f>
        <v>#REF!</v>
      </c>
      <c r="D5" s="74"/>
      <c r="E5" s="72">
        <f>'Daily Scoring'!AE25</f>
        <v>0</v>
      </c>
      <c r="F5" s="61" t="e">
        <f t="shared" si="0"/>
        <v>#REF!</v>
      </c>
      <c r="G5" s="62"/>
      <c r="H5" s="72">
        <f>'Daily Scoring'!AW25</f>
        <v>0</v>
      </c>
      <c r="I5" s="61">
        <f t="shared" si="1"/>
        <v>1</v>
      </c>
      <c r="J5" s="62"/>
      <c r="K5" s="72" t="e">
        <f>'Daily Scoring'!#REF!</f>
        <v>#REF!</v>
      </c>
      <c r="L5" s="61" t="e">
        <f t="shared" si="2"/>
        <v>#REF!</v>
      </c>
      <c r="M5" s="62"/>
      <c r="N5" s="72" t="e">
        <f>'Daily Scoring'!#REF!</f>
        <v>#REF!</v>
      </c>
      <c r="O5" s="61" t="e">
        <f t="shared" si="3"/>
        <v>#REF!</v>
      </c>
      <c r="P5" s="62"/>
      <c r="Q5" s="66" t="e">
        <f>'Daily Scoring'!#REF!</f>
        <v>#REF!</v>
      </c>
      <c r="R5" s="61" t="e">
        <f t="shared" si="4"/>
        <v>#REF!</v>
      </c>
      <c r="S5" s="62"/>
      <c r="V5" s="62"/>
      <c r="W5" s="62"/>
      <c r="X5" s="62"/>
      <c r="Y5" s="62"/>
      <c r="Z5" s="62"/>
      <c r="AA5" s="62"/>
    </row>
    <row r="6" spans="1:27">
      <c r="A6" s="66" t="e">
        <f>SUM(E6+H6+K6+N6+Q6)</f>
        <v>#REF!</v>
      </c>
      <c r="B6" s="61" t="e">
        <f>RANK(A6, $A$2:$A$10, 0)</f>
        <v>#REF!</v>
      </c>
      <c r="D6" s="74"/>
      <c r="E6" s="72">
        <f>'Daily Scoring'!AF25</f>
        <v>0</v>
      </c>
      <c r="F6" s="61" t="e">
        <f t="shared" si="0"/>
        <v>#REF!</v>
      </c>
      <c r="G6" s="62"/>
      <c r="H6" s="72">
        <f>'Daily Scoring'!AY25</f>
        <v>0</v>
      </c>
      <c r="I6" s="61">
        <f t="shared" si="1"/>
        <v>1</v>
      </c>
      <c r="J6" s="62"/>
      <c r="K6" s="72" t="e">
        <f>'Daily Scoring'!#REF!</f>
        <v>#REF!</v>
      </c>
      <c r="L6" s="61" t="e">
        <f t="shared" si="2"/>
        <v>#REF!</v>
      </c>
      <c r="M6" s="62"/>
      <c r="N6" s="72" t="e">
        <f>'Daily Scoring'!#REF!</f>
        <v>#REF!</v>
      </c>
      <c r="O6" s="61" t="e">
        <f t="shared" si="3"/>
        <v>#REF!</v>
      </c>
      <c r="P6" s="62"/>
      <c r="Q6" s="66" t="e">
        <f>'Daily Scoring'!#REF!</f>
        <v>#REF!</v>
      </c>
      <c r="R6" s="61" t="e">
        <f t="shared" si="4"/>
        <v>#REF!</v>
      </c>
      <c r="S6" s="62"/>
      <c r="V6" s="62"/>
      <c r="W6" s="62"/>
      <c r="X6" s="62"/>
      <c r="Y6" s="62"/>
      <c r="Z6" s="62"/>
      <c r="AA6" s="62"/>
    </row>
    <row r="7" spans="1:27">
      <c r="A7" s="66" t="e">
        <f>SUM(E7+H7+K7+N7+Q7)</f>
        <v>#REF!</v>
      </c>
      <c r="B7" s="61" t="e">
        <f>RANK(A7, $A$2:$A$10, 0)</f>
        <v>#REF!</v>
      </c>
      <c r="D7" s="74"/>
      <c r="E7" s="72">
        <f>'Daily Scoring'!AH25</f>
        <v>0</v>
      </c>
      <c r="F7" s="61" t="e">
        <f t="shared" si="0"/>
        <v>#REF!</v>
      </c>
      <c r="G7" s="62"/>
      <c r="H7" s="72">
        <f>'Daily Scoring'!BA25</f>
        <v>0</v>
      </c>
      <c r="I7" s="61">
        <f t="shared" si="1"/>
        <v>1</v>
      </c>
      <c r="J7" s="62"/>
      <c r="K7" s="72" t="e">
        <f>'Daily Scoring'!#REF!</f>
        <v>#REF!</v>
      </c>
      <c r="L7" s="61" t="e">
        <f t="shared" si="2"/>
        <v>#REF!</v>
      </c>
      <c r="M7" s="62"/>
      <c r="N7" s="72" t="e">
        <f>'Daily Scoring'!#REF!</f>
        <v>#REF!</v>
      </c>
      <c r="O7" s="61" t="e">
        <f t="shared" si="3"/>
        <v>#REF!</v>
      </c>
      <c r="P7" s="62"/>
      <c r="Q7" s="66" t="e">
        <f>'Daily Scoring'!#REF!</f>
        <v>#REF!</v>
      </c>
      <c r="R7" s="61" t="e">
        <f t="shared" si="4"/>
        <v>#REF!</v>
      </c>
      <c r="S7" s="62"/>
      <c r="V7" s="62"/>
      <c r="W7" s="62"/>
      <c r="X7" s="62"/>
      <c r="Y7" s="62"/>
      <c r="Z7" s="62"/>
      <c r="AA7" s="62"/>
    </row>
    <row r="8" spans="1:27">
      <c r="A8" s="66" t="e">
        <f t="shared" ref="A8:A17" si="5">SUM(E8+H8+K8+N8+Q8)</f>
        <v>#REF!</v>
      </c>
      <c r="B8" s="61" t="e">
        <f>RANK(A8, $A$2:$A$10, 0)</f>
        <v>#REF!</v>
      </c>
      <c r="D8" s="74"/>
      <c r="E8" s="72" t="e">
        <f>'Daily Scoring'!#REF!</f>
        <v>#REF!</v>
      </c>
      <c r="F8" s="61" t="e">
        <f t="shared" si="0"/>
        <v>#REF!</v>
      </c>
      <c r="G8" s="62"/>
      <c r="H8" s="72">
        <f>'Daily Scoring'!BC25</f>
        <v>0</v>
      </c>
      <c r="I8" s="61">
        <f t="shared" si="1"/>
        <v>1</v>
      </c>
      <c r="J8" s="62"/>
      <c r="K8" s="72" t="e">
        <f>'Daily Scoring'!#REF!</f>
        <v>#REF!</v>
      </c>
      <c r="L8" s="61" t="e">
        <f t="shared" si="2"/>
        <v>#REF!</v>
      </c>
      <c r="M8" s="62"/>
      <c r="N8" s="72" t="e">
        <f>'Daily Scoring'!#REF!</f>
        <v>#REF!</v>
      </c>
      <c r="O8" s="61" t="e">
        <f t="shared" si="3"/>
        <v>#REF!</v>
      </c>
      <c r="P8" s="62"/>
      <c r="Q8" s="66" t="e">
        <f>'Daily Scoring'!#REF!</f>
        <v>#REF!</v>
      </c>
      <c r="R8" s="61" t="e">
        <f t="shared" si="4"/>
        <v>#REF!</v>
      </c>
      <c r="S8" s="62"/>
      <c r="V8" s="62"/>
      <c r="W8" s="62"/>
      <c r="X8" s="62"/>
      <c r="Y8" s="62"/>
      <c r="Z8" s="62"/>
      <c r="AA8" s="62"/>
    </row>
    <row r="9" spans="1:27">
      <c r="A9" s="66" t="e">
        <f t="shared" ref="A9:A17" si="6">SUM(E9+H9+K9+N9+Q9)</f>
        <v>#REF!</v>
      </c>
      <c r="B9" s="61" t="e">
        <f>RANK(A9, $A$2:$A$10, 0)</f>
        <v>#REF!</v>
      </c>
      <c r="D9" s="74"/>
      <c r="E9" s="72" t="e">
        <f>'Daily Scoring'!#REF!</f>
        <v>#REF!</v>
      </c>
      <c r="F9" s="61" t="e">
        <f t="shared" si="0"/>
        <v>#REF!</v>
      </c>
      <c r="G9" s="62"/>
      <c r="H9" s="72">
        <f>'Daily Scoring'!BE25</f>
        <v>0</v>
      </c>
      <c r="I9" s="61">
        <f t="shared" si="1"/>
        <v>1</v>
      </c>
      <c r="J9" s="62"/>
      <c r="K9" s="72" t="e">
        <f>'Daily Scoring'!#REF!</f>
        <v>#REF!</v>
      </c>
      <c r="L9" s="61" t="e">
        <f t="shared" si="2"/>
        <v>#REF!</v>
      </c>
      <c r="M9" s="62"/>
      <c r="N9" s="72" t="e">
        <f>'Daily Scoring'!#REF!</f>
        <v>#REF!</v>
      </c>
      <c r="O9" s="61" t="e">
        <f t="shared" si="3"/>
        <v>#REF!</v>
      </c>
      <c r="P9" s="62"/>
      <c r="Q9" s="66" t="e">
        <f>'Daily Scoring'!#REF!</f>
        <v>#REF!</v>
      </c>
      <c r="R9" s="61" t="e">
        <f t="shared" si="4"/>
        <v>#REF!</v>
      </c>
      <c r="S9" s="62"/>
      <c r="V9" s="62"/>
      <c r="W9" s="62"/>
      <c r="X9" s="62"/>
      <c r="Y9" s="62"/>
      <c r="Z9" s="62"/>
      <c r="AA9" s="62"/>
    </row>
    <row r="10" spans="1:27">
      <c r="A10" s="66" t="e">
        <f t="shared" si="6"/>
        <v>#REF!</v>
      </c>
      <c r="B10" s="63" t="e">
        <f>RANK(A10, $A$2:$A$10, 0)</f>
        <v>#REF!</v>
      </c>
      <c r="D10" s="75"/>
      <c r="E10" s="73" t="e">
        <f>'Daily Scoring'!#REF!</f>
        <v>#REF!</v>
      </c>
      <c r="F10" s="63" t="e">
        <f t="shared" si="0"/>
        <v>#REF!</v>
      </c>
      <c r="G10" s="62"/>
      <c r="H10" s="73">
        <f>'Daily Scoring'!BG25</f>
        <v>0</v>
      </c>
      <c r="I10" s="63">
        <f t="shared" si="1"/>
        <v>1</v>
      </c>
      <c r="J10" s="62"/>
      <c r="K10" s="73" t="e">
        <f>'Daily Scoring'!#REF!</f>
        <v>#REF!</v>
      </c>
      <c r="L10" s="63" t="e">
        <f t="shared" si="2"/>
        <v>#REF!</v>
      </c>
      <c r="M10" s="62"/>
      <c r="N10" s="72" t="e">
        <f>'Daily Scoring'!#REF!</f>
        <v>#REF!</v>
      </c>
      <c r="O10" s="63" t="e">
        <f t="shared" si="3"/>
        <v>#REF!</v>
      </c>
      <c r="P10" s="62"/>
      <c r="Q10" s="67" t="e">
        <f>'Daily Scoring'!#REF!</f>
        <v>#REF!</v>
      </c>
      <c r="R10" s="63" t="e">
        <f t="shared" si="4"/>
        <v>#REF!</v>
      </c>
      <c r="S10" s="62"/>
      <c r="V10" s="62"/>
      <c r="W10" s="62"/>
      <c r="X10" s="62"/>
      <c r="Y10" s="62"/>
      <c r="Z10" s="62"/>
      <c r="AA10" s="62"/>
    </row>
    <row r="11" spans="1:27">
      <c r="A11" s="66" t="e">
        <f t="shared" si="6"/>
        <v>#REF!</v>
      </c>
      <c r="B11" s="61" t="e">
        <f>RANK(A11, $A$2:$A$10, 0)</f>
        <v>#REF!</v>
      </c>
      <c r="D11" s="75"/>
      <c r="E11" s="73" t="e">
        <f>'Daily Scoring'!#REF!</f>
        <v>#REF!</v>
      </c>
      <c r="F11" s="63" t="e">
        <f t="shared" ref="F11:F17" si="7">RANK(E11,$E$2:$E$10,0)</f>
        <v>#REF!</v>
      </c>
      <c r="H11" s="72">
        <f>'Daily Scoring'!AQ34</f>
        <v>0</v>
      </c>
      <c r="I11" s="61">
        <f>RANK(H11,$H$2:$H$10,0)</f>
        <v>1</v>
      </c>
      <c r="K11" s="72" t="e">
        <f>'Daily Scoring'!#REF!</f>
        <v>#REF!</v>
      </c>
      <c r="L11" s="61" t="e">
        <f>RANK(K11,$K$2:$K$10,0)</f>
        <v>#REF!</v>
      </c>
      <c r="N11" s="72" t="e">
        <f>'Daily Scoring'!#REF!</f>
        <v>#REF!</v>
      </c>
      <c r="O11" s="61" t="e">
        <f>RANK(N11,$N$2:$N$10,0)</f>
        <v>#REF!</v>
      </c>
      <c r="Q11" s="66" t="e">
        <f>'Daily Scoring'!#REF!</f>
        <v>#REF!</v>
      </c>
      <c r="R11" s="61" t="e">
        <f>RANK(Q11,$Q$2:$Q$10,0)</f>
        <v>#REF!</v>
      </c>
      <c r="S11" s="62"/>
    </row>
    <row r="12" spans="1:27">
      <c r="A12" s="66" t="e">
        <f t="shared" si="6"/>
        <v>#REF!</v>
      </c>
      <c r="B12" s="61" t="e">
        <f>RANK(A12, $A$2:$A$10, 0)</f>
        <v>#REF!</v>
      </c>
      <c r="D12" s="75"/>
      <c r="E12" s="73" t="e">
        <f>'Daily Scoring'!#REF!</f>
        <v>#REF!</v>
      </c>
      <c r="F12" s="63" t="e">
        <f t="shared" si="7"/>
        <v>#REF!</v>
      </c>
      <c r="H12" s="72">
        <f>'Daily Scoring'!AS34</f>
        <v>0</v>
      </c>
      <c r="I12" s="61">
        <f t="shared" ref="I12:I17" si="8">RANK(H12,$H$2:$H$10,0)</f>
        <v>1</v>
      </c>
      <c r="K12" s="72" t="e">
        <f>'Daily Scoring'!#REF!</f>
        <v>#REF!</v>
      </c>
      <c r="L12" s="61" t="e">
        <f t="shared" ref="L12:L17" si="9">RANK(K12,$K$2:$K$10,0)</f>
        <v>#REF!</v>
      </c>
      <c r="N12" s="72" t="e">
        <f>'Daily Scoring'!#REF!</f>
        <v>#REF!</v>
      </c>
      <c r="O12" s="61" t="e">
        <f t="shared" ref="O12:O17" si="10">RANK(N12,$N$2:$N$10,0)</f>
        <v>#REF!</v>
      </c>
      <c r="Q12" s="66" t="e">
        <f>'Daily Scoring'!#REF!</f>
        <v>#REF!</v>
      </c>
      <c r="R12" s="61" t="e">
        <f t="shared" ref="R12:R17" si="11">RANK(Q12,$Q$2:$Q$10,0)</f>
        <v>#REF!</v>
      </c>
      <c r="S12" s="62"/>
    </row>
    <row r="13" spans="1:27">
      <c r="A13" s="66" t="e">
        <f t="shared" si="6"/>
        <v>#REF!</v>
      </c>
      <c r="B13" s="61" t="e">
        <f>RANK(A13, $A$2:$A$10, 0)</f>
        <v>#REF!</v>
      </c>
      <c r="D13" s="75"/>
      <c r="E13" s="73" t="e">
        <f>'Daily Scoring'!#REF!</f>
        <v>#REF!</v>
      </c>
      <c r="F13" s="63" t="e">
        <f t="shared" si="7"/>
        <v>#REF!</v>
      </c>
      <c r="H13" s="72">
        <f>'Daily Scoring'!AU34</f>
        <v>0</v>
      </c>
      <c r="I13" s="61">
        <f t="shared" si="8"/>
        <v>1</v>
      </c>
      <c r="K13" s="72" t="e">
        <f>'Daily Scoring'!#REF!</f>
        <v>#REF!</v>
      </c>
      <c r="L13" s="61" t="e">
        <f t="shared" si="9"/>
        <v>#REF!</v>
      </c>
      <c r="N13" s="72" t="e">
        <f>'Daily Scoring'!#REF!</f>
        <v>#REF!</v>
      </c>
      <c r="O13" s="61" t="e">
        <f t="shared" si="10"/>
        <v>#REF!</v>
      </c>
      <c r="Q13" s="66" t="e">
        <f>'Daily Scoring'!#REF!</f>
        <v>#REF!</v>
      </c>
      <c r="R13" s="61" t="e">
        <f t="shared" si="11"/>
        <v>#REF!</v>
      </c>
      <c r="S13" s="62"/>
    </row>
    <row r="14" spans="1:27">
      <c r="A14" s="66" t="e">
        <f t="shared" ref="A14:A17" si="12">SUM(E14+H14+K14+N14+Q14)</f>
        <v>#REF!</v>
      </c>
      <c r="B14" s="61" t="e">
        <f>RANK(A14, $A$2:$A$10, 0)</f>
        <v>#REF!</v>
      </c>
      <c r="D14" s="75"/>
      <c r="E14" s="73" t="e">
        <f>'Daily Scoring'!#REF!</f>
        <v>#REF!</v>
      </c>
      <c r="F14" s="63" t="e">
        <f t="shared" si="7"/>
        <v>#REF!</v>
      </c>
      <c r="H14" s="72">
        <f>'Daily Scoring'!AW34</f>
        <v>0</v>
      </c>
      <c r="I14" s="61">
        <f t="shared" si="8"/>
        <v>1</v>
      </c>
      <c r="K14" s="72" t="e">
        <f>'Daily Scoring'!#REF!</f>
        <v>#REF!</v>
      </c>
      <c r="L14" s="61" t="e">
        <f t="shared" si="9"/>
        <v>#REF!</v>
      </c>
      <c r="N14" s="72" t="e">
        <f>'Daily Scoring'!#REF!</f>
        <v>#REF!</v>
      </c>
      <c r="O14" s="61" t="e">
        <f t="shared" si="10"/>
        <v>#REF!</v>
      </c>
      <c r="Q14" s="66" t="e">
        <f>'Daily Scoring'!#REF!</f>
        <v>#REF!</v>
      </c>
      <c r="R14" s="61" t="e">
        <f t="shared" si="11"/>
        <v>#REF!</v>
      </c>
      <c r="S14" s="62"/>
    </row>
    <row r="15" spans="1:27">
      <c r="A15" s="66" t="e">
        <f t="shared" ref="A15:A17" si="13">SUM(E15+H15+K15+N15+Q15)</f>
        <v>#REF!</v>
      </c>
      <c r="B15" s="61" t="e">
        <f>RANK(A15, $A$2:$A$10, 0)</f>
        <v>#REF!</v>
      </c>
      <c r="D15" s="75"/>
      <c r="E15" s="73" t="e">
        <f>'Daily Scoring'!#REF!</f>
        <v>#REF!</v>
      </c>
      <c r="F15" s="63" t="e">
        <f t="shared" si="7"/>
        <v>#REF!</v>
      </c>
      <c r="H15" s="72">
        <f>'Daily Scoring'!AY34</f>
        <v>0</v>
      </c>
      <c r="I15" s="61">
        <f t="shared" si="8"/>
        <v>1</v>
      </c>
      <c r="K15" s="72" t="e">
        <f>'Daily Scoring'!#REF!</f>
        <v>#REF!</v>
      </c>
      <c r="L15" s="61" t="e">
        <f t="shared" si="9"/>
        <v>#REF!</v>
      </c>
      <c r="N15" s="72" t="e">
        <f>'Daily Scoring'!#REF!</f>
        <v>#REF!</v>
      </c>
      <c r="O15" s="61" t="e">
        <f t="shared" si="10"/>
        <v>#REF!</v>
      </c>
      <c r="Q15" s="66" t="e">
        <f>'Daily Scoring'!#REF!</f>
        <v>#REF!</v>
      </c>
      <c r="R15" s="61" t="e">
        <f t="shared" si="11"/>
        <v>#REF!</v>
      </c>
      <c r="S15" s="62"/>
    </row>
    <row r="16" spans="1:27">
      <c r="A16" s="66" t="e">
        <f t="shared" si="13"/>
        <v>#REF!</v>
      </c>
      <c r="B16" s="61" t="e">
        <f>RANK(A16, $A$2:$A$10, 0)</f>
        <v>#REF!</v>
      </c>
      <c r="D16" s="75"/>
      <c r="E16" s="73" t="e">
        <f>'Daily Scoring'!#REF!</f>
        <v>#REF!</v>
      </c>
      <c r="F16" s="63" t="e">
        <f t="shared" si="7"/>
        <v>#REF!</v>
      </c>
      <c r="H16" s="72">
        <f>'Daily Scoring'!BA34</f>
        <v>0</v>
      </c>
      <c r="I16" s="61">
        <f t="shared" si="8"/>
        <v>1</v>
      </c>
      <c r="K16" s="72" t="e">
        <f>'Daily Scoring'!#REF!</f>
        <v>#REF!</v>
      </c>
      <c r="L16" s="61" t="e">
        <f t="shared" si="9"/>
        <v>#REF!</v>
      </c>
      <c r="N16" s="72" t="e">
        <f>'Daily Scoring'!#REF!</f>
        <v>#REF!</v>
      </c>
      <c r="O16" s="61" t="e">
        <f t="shared" si="10"/>
        <v>#REF!</v>
      </c>
      <c r="Q16" s="66" t="e">
        <f>'Daily Scoring'!#REF!</f>
        <v>#REF!</v>
      </c>
      <c r="R16" s="61" t="e">
        <f t="shared" si="11"/>
        <v>#REF!</v>
      </c>
      <c r="S16" s="62"/>
    </row>
    <row r="17" spans="1:19">
      <c r="A17" s="66" t="e">
        <f t="shared" si="13"/>
        <v>#REF!</v>
      </c>
      <c r="B17" s="61" t="e">
        <f>RANK(A17, $A$2:$A$10, 0)</f>
        <v>#REF!</v>
      </c>
      <c r="D17" s="75"/>
      <c r="E17" s="73" t="e">
        <f>'Daily Scoring'!#REF!</f>
        <v>#REF!</v>
      </c>
      <c r="F17" s="63" t="e">
        <f t="shared" si="7"/>
        <v>#REF!</v>
      </c>
      <c r="H17" s="72">
        <f>'Daily Scoring'!BC34</f>
        <v>0</v>
      </c>
      <c r="I17" s="61">
        <f t="shared" si="8"/>
        <v>1</v>
      </c>
      <c r="K17" s="72" t="e">
        <f>'Daily Scoring'!#REF!</f>
        <v>#REF!</v>
      </c>
      <c r="L17" s="61" t="e">
        <f t="shared" si="9"/>
        <v>#REF!</v>
      </c>
      <c r="N17" s="72" t="e">
        <f>'Daily Scoring'!#REF!</f>
        <v>#REF!</v>
      </c>
      <c r="O17" s="61" t="e">
        <f t="shared" si="10"/>
        <v>#REF!</v>
      </c>
      <c r="Q17" s="66" t="e">
        <f>'Daily Scoring'!#REF!</f>
        <v>#REF!</v>
      </c>
      <c r="R17" s="61" t="e">
        <f t="shared" si="11"/>
        <v>#REF!</v>
      </c>
      <c r="S17" s="62"/>
    </row>
  </sheetData>
  <conditionalFormatting sqref="E11:F17 H11:I17 K11:L17 N11:O17 E2:S10 V2:AA10 Q11:S17 A2:B17">
    <cfRule type="cellIs" dxfId="15" priority="4" operator="equal">
      <formula>5</formula>
    </cfRule>
    <cfRule type="cellIs" dxfId="14" priority="5" operator="equal">
      <formula>9</formula>
    </cfRule>
    <cfRule type="cellIs" dxfId="13" priority="6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22BA-AF58-48E1-9A95-337B318B5F8E}">
  <dimension ref="A1:K38"/>
  <sheetViews>
    <sheetView workbookViewId="0">
      <selection activeCell="F23" sqref="F23"/>
    </sheetView>
  </sheetViews>
  <sheetFormatPr defaultRowHeight="15"/>
  <cols>
    <col min="1" max="1" width="13.42578125" customWidth="1"/>
    <col min="2" max="2" width="15.7109375" bestFit="1" customWidth="1"/>
    <col min="3" max="3" width="15.7109375" customWidth="1"/>
    <col min="4" max="9" width="9.140625" style="1"/>
  </cols>
  <sheetData>
    <row r="1" spans="1:11">
      <c r="A1" t="s">
        <v>8</v>
      </c>
      <c r="B1" s="95">
        <v>5</v>
      </c>
      <c r="C1" s="95"/>
    </row>
    <row r="2" spans="1:11">
      <c r="A2" s="105" t="s">
        <v>9</v>
      </c>
      <c r="B2" s="105" t="s">
        <v>2</v>
      </c>
      <c r="C2" s="105" t="s">
        <v>10</v>
      </c>
      <c r="D2" s="105" t="s">
        <v>11</v>
      </c>
      <c r="E2" s="106" cm="1">
        <f t="array" ref="E2:I2">_xlfn.SEQUENCE(1,B1,1,1)</f>
        <v>1</v>
      </c>
      <c r="F2" s="106">
        <v>2</v>
      </c>
      <c r="G2" s="106">
        <v>3</v>
      </c>
      <c r="H2" s="106">
        <v>4</v>
      </c>
      <c r="I2" s="106">
        <v>5</v>
      </c>
      <c r="K2" s="106" t="s">
        <v>12</v>
      </c>
    </row>
    <row r="3" spans="1:11">
      <c r="A3" s="2">
        <v>4090903820</v>
      </c>
      <c r="B3" s="2" t="s">
        <v>13</v>
      </c>
      <c r="C3" s="2" t="s">
        <v>14</v>
      </c>
      <c r="D3" s="21">
        <v>14</v>
      </c>
      <c r="E3" s="21">
        <f>D3</f>
        <v>14</v>
      </c>
      <c r="F3" s="52" t="e">
        <f>_xlfn.XLOOKUP(_xlfn.XLOOKUP($B3,Leaderboard!$D$2:$D$10,Leaderboard!F$2:F$10),$A$23:$A$31,$B$23:$B$31)+E3</f>
        <v>#N/A</v>
      </c>
      <c r="G3" s="52" t="e">
        <f>_xlfn.XLOOKUP(_xlfn.XLOOKUP($B3,Leaderboard!$D$2:$D$10,Leaderboard!I$2:I$10),$A$23:$A$31,$B$23:$B$31)+F3</f>
        <v>#N/A</v>
      </c>
      <c r="H3" s="52" t="e">
        <f>_xlfn.XLOOKUP(_xlfn.XLOOKUP($B3,Leaderboard!$D$2:$D$10,Leaderboard!L$2:L$10),$A$23:$A$31,$B$23:$B$31)+G3</f>
        <v>#N/A</v>
      </c>
      <c r="I3" s="52" t="e">
        <f>_xlfn.XLOOKUP(_xlfn.XLOOKUP($B3,Leaderboard!$D$2:$D$10,Leaderboard!R$2:R$10),$A$23:$A$31,$B$23:$B$31)+H3</f>
        <v>#N/A</v>
      </c>
      <c r="K3" s="138"/>
    </row>
    <row r="4" spans="1:11">
      <c r="A4" s="2">
        <v>4090901889</v>
      </c>
      <c r="B4" s="2" t="s">
        <v>15</v>
      </c>
      <c r="C4" s="2" t="s">
        <v>16</v>
      </c>
      <c r="D4" s="21">
        <v>8</v>
      </c>
      <c r="E4" s="21">
        <f>D4</f>
        <v>8</v>
      </c>
      <c r="F4" s="52" t="e">
        <f>_xlfn.XLOOKUP(_xlfn.XLOOKUP($B4,Leaderboard!$D$2:$D$10,Leaderboard!F$2:F$10),$A$23:$A$31,$B$23:$B$31)+E4</f>
        <v>#N/A</v>
      </c>
      <c r="G4" s="52" t="e">
        <f>_xlfn.XLOOKUP(_xlfn.XLOOKUP($B4,Leaderboard!$D$2:$D$10,Leaderboard!I$2:I$10),$A$23:$A$31,$B$23:$B$31)+F4</f>
        <v>#N/A</v>
      </c>
      <c r="H4" s="52" t="e">
        <f>_xlfn.XLOOKUP(_xlfn.XLOOKUP($B4,Leaderboard!$D$2:$D$10,Leaderboard!L$2:L$10),$A$23:$A$31,$B$23:$B$31)+G4</f>
        <v>#N/A</v>
      </c>
      <c r="I4" s="52" t="e">
        <f>_xlfn.XLOOKUP(_xlfn.XLOOKUP($B4,Leaderboard!$D$2:$D$10,Leaderboard!R$2:R$10),$A$23:$A$31,$B$23:$B$31)+H4</f>
        <v>#N/A</v>
      </c>
      <c r="K4" s="115"/>
    </row>
    <row r="5" spans="1:11">
      <c r="A5" s="2">
        <v>4140302911</v>
      </c>
      <c r="B5" s="2" t="s">
        <v>17</v>
      </c>
      <c r="C5" s="2" t="s">
        <v>18</v>
      </c>
      <c r="D5" s="21">
        <v>12</v>
      </c>
      <c r="E5" s="21">
        <f>D5</f>
        <v>12</v>
      </c>
      <c r="F5" s="52" t="e">
        <f>_xlfn.XLOOKUP(_xlfn.XLOOKUP($B5,Leaderboard!$D$2:$D$10,Leaderboard!F$2:F$10),$A$23:$A$31,$B$23:$B$31)+E5</f>
        <v>#N/A</v>
      </c>
      <c r="G5" s="52" t="e">
        <f>_xlfn.XLOOKUP(_xlfn.XLOOKUP($B5,Leaderboard!$D$2:$D$10,Leaderboard!I$2:I$10),$A$23:$A$31,$B$23:$B$31)+F5</f>
        <v>#N/A</v>
      </c>
      <c r="H5" s="52" t="e">
        <f>_xlfn.XLOOKUP(_xlfn.XLOOKUP($B5,Leaderboard!$D$2:$D$10,Leaderboard!L$2:L$10),$A$23:$A$31,$B$23:$B$31)+G5</f>
        <v>#N/A</v>
      </c>
      <c r="I5" s="52" t="e">
        <f>_xlfn.XLOOKUP(_xlfn.XLOOKUP($B5,Leaderboard!$D$2:$D$10,Leaderboard!R$2:R$10),$A$23:$A$31,$B$23:$B$31)+H5</f>
        <v>#N/A</v>
      </c>
      <c r="K5" s="115"/>
    </row>
    <row r="6" spans="1:11">
      <c r="A6" s="2">
        <v>4090904266</v>
      </c>
      <c r="B6" s="2" t="s">
        <v>19</v>
      </c>
      <c r="C6" s="2" t="s">
        <v>20</v>
      </c>
      <c r="D6" s="21">
        <v>12</v>
      </c>
      <c r="E6" s="21">
        <f>D6</f>
        <v>12</v>
      </c>
      <c r="F6" s="52" t="e">
        <f>_xlfn.XLOOKUP(_xlfn.XLOOKUP($B6,Leaderboard!$D$2:$D$10,Leaderboard!F$2:F$10),$A$23:$A$31,$B$23:$B$31)+E6</f>
        <v>#N/A</v>
      </c>
      <c r="G6" s="52" t="e">
        <f>_xlfn.XLOOKUP(_xlfn.XLOOKUP($B6,Leaderboard!$D$2:$D$10,Leaderboard!I$2:I$10),$A$23:$A$31,$B$23:$B$31)+F6</f>
        <v>#N/A</v>
      </c>
      <c r="H6" s="52" t="e">
        <f>_xlfn.XLOOKUP(_xlfn.XLOOKUP($B6,Leaderboard!$D$2:$D$10,Leaderboard!L$2:L$10),$A$23:$A$31,$B$23:$B$31)+G6</f>
        <v>#N/A</v>
      </c>
      <c r="I6" s="52" t="e">
        <f>_xlfn.XLOOKUP(_xlfn.XLOOKUP($B6,Leaderboard!$D$2:$D$10,Leaderboard!R$2:R$10),$A$23:$A$31,$B$23:$B$31)+H6</f>
        <v>#N/A</v>
      </c>
      <c r="K6" s="115"/>
    </row>
    <row r="7" spans="1:11">
      <c r="A7" s="2">
        <v>0</v>
      </c>
      <c r="B7" s="2" t="s">
        <v>21</v>
      </c>
      <c r="C7" s="2" t="s">
        <v>22</v>
      </c>
      <c r="D7" s="21">
        <v>25</v>
      </c>
      <c r="E7" s="21">
        <f>D7</f>
        <v>25</v>
      </c>
      <c r="F7" s="52" t="e">
        <f>_xlfn.XLOOKUP(_xlfn.XLOOKUP($B7,Leaderboard!$D$2:$D$10,Leaderboard!F$2:F$10),$A$23:$A$31,$B$23:$B$31)+E7</f>
        <v>#N/A</v>
      </c>
      <c r="G7" s="52" t="e">
        <f>_xlfn.XLOOKUP(_xlfn.XLOOKUP($B7,Leaderboard!$D$2:$D$10,Leaderboard!I$2:I$10),$A$23:$A$31,$B$23:$B$31)+F7</f>
        <v>#N/A</v>
      </c>
      <c r="H7" s="52" t="e">
        <f>_xlfn.XLOOKUP(_xlfn.XLOOKUP($B7,Leaderboard!$D$2:$D$10,Leaderboard!L$2:L$10),$A$23:$A$31,$B$23:$B$31)+G7</f>
        <v>#N/A</v>
      </c>
      <c r="I7" s="52" t="e">
        <f>_xlfn.XLOOKUP(_xlfn.XLOOKUP($B7,Leaderboard!$D$2:$D$10,Leaderboard!R$2:R$10),$A$23:$A$31,$B$23:$B$31)+H7</f>
        <v>#N/A</v>
      </c>
      <c r="K7" s="115"/>
    </row>
    <row r="8" spans="1:11">
      <c r="A8" s="2">
        <v>4090904076</v>
      </c>
      <c r="B8" s="2" t="s">
        <v>23</v>
      </c>
      <c r="C8" s="2" t="s">
        <v>24</v>
      </c>
      <c r="D8" s="21">
        <v>16</v>
      </c>
      <c r="E8" s="21">
        <f>D8</f>
        <v>16</v>
      </c>
      <c r="F8" s="52" t="e">
        <f>_xlfn.XLOOKUP(_xlfn.XLOOKUP($B8,Leaderboard!$D$2:$D$10,Leaderboard!F$2:F$10),$A$23:$A$31,$B$23:$B$31)+E8</f>
        <v>#N/A</v>
      </c>
      <c r="G8" s="52" t="e">
        <f>_xlfn.XLOOKUP(_xlfn.XLOOKUP($B8,Leaderboard!$D$2:$D$10,Leaderboard!I$2:I$10),$A$23:$A$31,$B$23:$B$31)+F8</f>
        <v>#N/A</v>
      </c>
      <c r="H8" s="52" t="e">
        <f>_xlfn.XLOOKUP(_xlfn.XLOOKUP($B8,Leaderboard!$D$2:$D$10,Leaderboard!L$2:L$10),$A$23:$A$31,$B$23:$B$31)+G8</f>
        <v>#N/A</v>
      </c>
      <c r="I8" s="52" t="e">
        <f>_xlfn.XLOOKUP(_xlfn.XLOOKUP($B8,Leaderboard!$D$2:$D$10,Leaderboard!R$2:R$10),$A$23:$A$31,$B$23:$B$31)+H8</f>
        <v>#N/A</v>
      </c>
      <c r="K8" s="115"/>
    </row>
    <row r="9" spans="1:11">
      <c r="A9" s="2">
        <v>4090905296</v>
      </c>
      <c r="B9" s="2" t="s">
        <v>25</v>
      </c>
      <c r="C9" s="2" t="s">
        <v>26</v>
      </c>
      <c r="D9" s="21">
        <v>27</v>
      </c>
      <c r="E9" s="21">
        <f>D9</f>
        <v>27</v>
      </c>
      <c r="F9" s="52" t="e">
        <f>_xlfn.XLOOKUP(_xlfn.XLOOKUP($B9,Leaderboard!$D$2:$D$10,Leaderboard!F$2:F$10),$A$23:$A$31,$B$23:$B$31)+E9</f>
        <v>#N/A</v>
      </c>
      <c r="G9" s="52" t="e">
        <f>_xlfn.XLOOKUP(_xlfn.XLOOKUP($B9,Leaderboard!$D$2:$D$10,Leaderboard!I$2:I$10),$A$23:$A$31,$B$23:$B$31)+F9</f>
        <v>#N/A</v>
      </c>
      <c r="H9" s="52" t="e">
        <f>_xlfn.XLOOKUP(_xlfn.XLOOKUP($B9,Leaderboard!$D$2:$D$10,Leaderboard!L$2:L$10),$A$23:$A$31,$B$23:$B$31)+G9</f>
        <v>#N/A</v>
      </c>
      <c r="I9" s="52" t="e">
        <f>_xlfn.XLOOKUP(_xlfn.XLOOKUP($B9,Leaderboard!$D$2:$D$10,Leaderboard!R$2:R$10),$A$23:$A$31,$B$23:$B$31)+H9</f>
        <v>#N/A</v>
      </c>
      <c r="K9" s="115"/>
    </row>
    <row r="10" spans="1:11">
      <c r="A10" s="2">
        <v>4090900096</v>
      </c>
      <c r="B10" s="2" t="s">
        <v>27</v>
      </c>
      <c r="C10" s="2" t="s">
        <v>28</v>
      </c>
      <c r="D10" s="21">
        <v>12</v>
      </c>
      <c r="E10" s="21">
        <f>D10</f>
        <v>12</v>
      </c>
      <c r="F10" s="52" t="e">
        <f>_xlfn.XLOOKUP(_xlfn.XLOOKUP($B10,Leaderboard!$D$2:$D$10,Leaderboard!F$2:F$10),$A$23:$A$31,$B$23:$B$31)+E10</f>
        <v>#N/A</v>
      </c>
      <c r="G10" s="52" t="e">
        <f>_xlfn.XLOOKUP(_xlfn.XLOOKUP($B10,Leaderboard!$D$2:$D$10,Leaderboard!I$2:I$10),$A$23:$A$31,$B$23:$B$31)+F10</f>
        <v>#N/A</v>
      </c>
      <c r="H10" s="52" t="e">
        <f>_xlfn.XLOOKUP(_xlfn.XLOOKUP($B10,Leaderboard!$D$2:$D$10,Leaderboard!L$2:L$10),$A$23:$A$31,$B$23:$B$31)+G10</f>
        <v>#N/A</v>
      </c>
      <c r="I10" s="52" t="e">
        <f>_xlfn.XLOOKUP(_xlfn.XLOOKUP($B10,Leaderboard!$D$2:$D$10,Leaderboard!R$2:R$10),$A$23:$A$31,$B$23:$B$31)+H10</f>
        <v>#N/A</v>
      </c>
      <c r="K10" s="115"/>
    </row>
    <row r="11" spans="1:11">
      <c r="A11" s="2">
        <v>4090904495</v>
      </c>
      <c r="B11" s="2" t="s">
        <v>29</v>
      </c>
      <c r="C11" s="2" t="s">
        <v>30</v>
      </c>
      <c r="D11" s="21">
        <v>21</v>
      </c>
      <c r="E11" s="21">
        <f>D11</f>
        <v>21</v>
      </c>
      <c r="F11" s="52" t="e">
        <f>_xlfn.XLOOKUP(_xlfn.XLOOKUP($B11,Leaderboard!$D$2:$D$10,Leaderboard!F$2:F$10),$A$23:$A$31,$B$23:$B$31)+E11</f>
        <v>#N/A</v>
      </c>
      <c r="G11" s="52" t="e">
        <f>_xlfn.XLOOKUP(_xlfn.XLOOKUP($B11,Leaderboard!$D$2:$D$10,Leaderboard!I$2:I$10),$A$23:$A$31,$B$23:$B$31)+F11</f>
        <v>#N/A</v>
      </c>
      <c r="H11" s="52" t="e">
        <f>_xlfn.XLOOKUP(_xlfn.XLOOKUP($B11,Leaderboard!$D$2:$D$10,Leaderboard!L$2:L$10),$A$23:$A$31,$B$23:$B$31)+G11</f>
        <v>#N/A</v>
      </c>
      <c r="I11" s="52" t="e">
        <f>_xlfn.XLOOKUP(_xlfn.XLOOKUP($B11,Leaderboard!$D$2:$D$10,Leaderboard!R$2:R$10),$A$23:$A$31,$B$23:$B$31)+H11</f>
        <v>#N/A</v>
      </c>
      <c r="K11" s="115"/>
    </row>
    <row r="12" spans="1:11">
      <c r="A12" s="2">
        <v>4090903571</v>
      </c>
      <c r="B12" s="2" t="s">
        <v>31</v>
      </c>
      <c r="C12" s="2" t="s">
        <v>32</v>
      </c>
      <c r="D12" s="21">
        <v>14</v>
      </c>
      <c r="E12" s="21">
        <f>D12</f>
        <v>14</v>
      </c>
      <c r="F12" s="52" t="e">
        <f>_xlfn.XLOOKUP(_xlfn.XLOOKUP($B12,Leaderboard!$D$2:$D$10,Leaderboard!F$2:F$10),$A$23:$A$31,$B$23:$B$31)+E12</f>
        <v>#N/A</v>
      </c>
      <c r="G12" s="52" t="e">
        <f>_xlfn.XLOOKUP(_xlfn.XLOOKUP($B12,Leaderboard!$D$2:$D$10,Leaderboard!I$2:I$10),$A$23:$A$31,$B$23:$B$31)+F12</f>
        <v>#N/A</v>
      </c>
      <c r="H12" s="52" t="e">
        <f>_xlfn.XLOOKUP(_xlfn.XLOOKUP($B12,Leaderboard!$D$2:$D$10,Leaderboard!L$2:L$10),$A$23:$A$31,$B$23:$B$31)+G12</f>
        <v>#N/A</v>
      </c>
      <c r="I12" s="52" t="e">
        <f>_xlfn.XLOOKUP(_xlfn.XLOOKUP($B12,Leaderboard!$D$2:$D$10,Leaderboard!R$2:R$10),$A$23:$A$31,$B$23:$B$31)+H12</f>
        <v>#N/A</v>
      </c>
      <c r="K12" s="115"/>
    </row>
    <row r="13" spans="1:11">
      <c r="A13" s="2">
        <v>4090901889</v>
      </c>
      <c r="B13" s="2" t="s">
        <v>33</v>
      </c>
      <c r="C13" s="2" t="s">
        <v>34</v>
      </c>
      <c r="D13" s="21">
        <v>6</v>
      </c>
      <c r="E13" s="21">
        <f>D13</f>
        <v>6</v>
      </c>
      <c r="F13" s="52" t="e">
        <f>_xlfn.XLOOKUP(_xlfn.XLOOKUP($B13,Leaderboard!$D$2:$D$10,Leaderboard!F$2:F$10),$A$23:$A$31,$B$23:$B$31)+E13</f>
        <v>#N/A</v>
      </c>
      <c r="G13" s="52" t="e">
        <f>_xlfn.XLOOKUP(_xlfn.XLOOKUP($B13,Leaderboard!$D$2:$D$10,Leaderboard!I$2:I$10),$A$23:$A$31,$B$23:$B$31)+F13</f>
        <v>#N/A</v>
      </c>
      <c r="H13" s="52" t="e">
        <f>_xlfn.XLOOKUP(_xlfn.XLOOKUP($B13,Leaderboard!$D$2:$D$10,Leaderboard!L$2:L$10),$A$23:$A$31,$B$23:$B$31)+G13</f>
        <v>#N/A</v>
      </c>
      <c r="I13" s="52" t="e">
        <f>_xlfn.XLOOKUP(_xlfn.XLOOKUP($B13,Leaderboard!$D$2:$D$10,Leaderboard!R$2:R$10),$A$23:$A$31,$B$23:$B$31)+H13</f>
        <v>#N/A</v>
      </c>
      <c r="K13" s="115"/>
    </row>
    <row r="14" spans="1:11">
      <c r="A14" s="2">
        <v>4090901143</v>
      </c>
      <c r="B14" s="2" t="s">
        <v>35</v>
      </c>
      <c r="C14" s="2" t="s">
        <v>36</v>
      </c>
      <c r="D14" s="21">
        <v>18</v>
      </c>
      <c r="E14" s="21">
        <f>D14</f>
        <v>18</v>
      </c>
      <c r="F14" s="52" t="e">
        <f>_xlfn.XLOOKUP(_xlfn.XLOOKUP($B14,Leaderboard!$D$2:$D$10,Leaderboard!F$2:F$10),$A$23:$A$31,$B$23:$B$31)+E14</f>
        <v>#N/A</v>
      </c>
      <c r="G14" s="52" t="e">
        <f>_xlfn.XLOOKUP(_xlfn.XLOOKUP($B14,Leaderboard!$D$2:$D$10,Leaderboard!I$2:I$10),$A$23:$A$31,$B$23:$B$31)+F14</f>
        <v>#N/A</v>
      </c>
      <c r="H14" s="52" t="e">
        <f>_xlfn.XLOOKUP(_xlfn.XLOOKUP($B14,Leaderboard!$D$2:$D$10,Leaderboard!L$2:L$10),$A$23:$A$31,$B$23:$B$31)+G14</f>
        <v>#N/A</v>
      </c>
      <c r="I14" s="52" t="e">
        <f>_xlfn.XLOOKUP(_xlfn.XLOOKUP($B14,Leaderboard!$D$2:$D$10,Leaderboard!R$2:R$10),$A$23:$A$31,$B$23:$B$31)+H14</f>
        <v>#N/A</v>
      </c>
      <c r="K14" s="115"/>
    </row>
    <row r="15" spans="1:11">
      <c r="A15" s="2">
        <v>4090904170</v>
      </c>
      <c r="B15" s="2" t="s">
        <v>37</v>
      </c>
      <c r="C15" s="2" t="s">
        <v>38</v>
      </c>
      <c r="D15" s="21">
        <v>8</v>
      </c>
      <c r="E15" s="21">
        <f>D15</f>
        <v>8</v>
      </c>
      <c r="F15" s="52" t="e">
        <f>_xlfn.XLOOKUP(_xlfn.XLOOKUP($B15,Leaderboard!$D$2:$D$10,Leaderboard!F$2:F$10),$A$23:$A$31,$B$23:$B$31)+E15</f>
        <v>#N/A</v>
      </c>
      <c r="G15" s="52" t="e">
        <f>_xlfn.XLOOKUP(_xlfn.XLOOKUP($B15,Leaderboard!$D$2:$D$10,Leaderboard!I$2:I$10),$A$23:$A$31,$B$23:$B$31)+F15</f>
        <v>#N/A</v>
      </c>
      <c r="H15" s="52" t="e">
        <f>_xlfn.XLOOKUP(_xlfn.XLOOKUP($B15,Leaderboard!$D$2:$D$10,Leaderboard!L$2:L$10),$A$23:$A$31,$B$23:$B$31)+G15</f>
        <v>#N/A</v>
      </c>
      <c r="I15" s="52" t="e">
        <f>_xlfn.XLOOKUP(_xlfn.XLOOKUP($B15,Leaderboard!$D$2:$D$10,Leaderboard!R$2:R$10),$A$23:$A$31,$B$23:$B$31)+H15</f>
        <v>#N/A</v>
      </c>
      <c r="K15" s="115"/>
    </row>
    <row r="16" spans="1:11">
      <c r="A16" s="2">
        <v>4090904294</v>
      </c>
      <c r="B16" s="2" t="s">
        <v>39</v>
      </c>
      <c r="C16" s="2" t="s">
        <v>40</v>
      </c>
      <c r="D16" s="21">
        <v>15</v>
      </c>
      <c r="E16" s="21">
        <f>D16</f>
        <v>15</v>
      </c>
      <c r="F16" s="52" t="e">
        <f>_xlfn.XLOOKUP(_xlfn.XLOOKUP($B16,Leaderboard!$D$2:$D$10,Leaderboard!F$2:F$10),$A$23:$A$31,$B$23:$B$31)+E16</f>
        <v>#N/A</v>
      </c>
      <c r="G16" s="52" t="e">
        <f>_xlfn.XLOOKUP(_xlfn.XLOOKUP($B16,Leaderboard!$D$2:$D$10,Leaderboard!I$2:I$10),$A$23:$A$31,$B$23:$B$31)+F16</f>
        <v>#N/A</v>
      </c>
      <c r="H16" s="52" t="e">
        <f>_xlfn.XLOOKUP(_xlfn.XLOOKUP($B16,Leaderboard!$D$2:$D$10,Leaderboard!L$2:L$10),$A$23:$A$31,$B$23:$B$31)+G16</f>
        <v>#N/A</v>
      </c>
      <c r="I16" s="52" t="e">
        <f>_xlfn.XLOOKUP(_xlfn.XLOOKUP($B16,Leaderboard!$D$2:$D$10,Leaderboard!R$2:R$10),$A$23:$A$31,$B$23:$B$31)+H16</f>
        <v>#N/A</v>
      </c>
      <c r="K16" s="115"/>
    </row>
    <row r="17" spans="1:11">
      <c r="A17" s="2">
        <v>4090902397</v>
      </c>
      <c r="B17" s="2" t="s">
        <v>41</v>
      </c>
      <c r="C17" s="2" t="s">
        <v>42</v>
      </c>
      <c r="D17" s="21">
        <v>8</v>
      </c>
      <c r="E17" s="21">
        <f>D17</f>
        <v>8</v>
      </c>
      <c r="F17" s="52" t="e">
        <f>_xlfn.XLOOKUP(_xlfn.XLOOKUP($B17,Leaderboard!$D$2:$D$10,Leaderboard!F$2:F$10),$A$23:$A$31,$B$23:$B$31)+E17</f>
        <v>#N/A</v>
      </c>
      <c r="G17" s="52" t="e">
        <f>_xlfn.XLOOKUP(_xlfn.XLOOKUP($B17,Leaderboard!$D$2:$D$10,Leaderboard!I$2:I$10),$A$23:$A$31,$B$23:$B$31)+F17</f>
        <v>#N/A</v>
      </c>
      <c r="H17" s="52" t="e">
        <f>_xlfn.XLOOKUP(_xlfn.XLOOKUP($B17,Leaderboard!$D$2:$D$10,Leaderboard!L$2:L$10),$A$23:$A$31,$B$23:$B$31)+G17</f>
        <v>#N/A</v>
      </c>
      <c r="I17" s="52" t="e">
        <f>_xlfn.XLOOKUP(_xlfn.XLOOKUP($B17,Leaderboard!$D$2:$D$10,Leaderboard!R$2:R$10),$A$23:$A$31,$B$23:$B$31)+H17</f>
        <v>#N/A</v>
      </c>
      <c r="K17" s="115"/>
    </row>
    <row r="18" spans="1:11">
      <c r="A18" s="2">
        <v>4090904680</v>
      </c>
      <c r="B18" s="2" t="s">
        <v>43</v>
      </c>
      <c r="C18" s="2" t="s">
        <v>44</v>
      </c>
      <c r="D18" s="21">
        <v>8</v>
      </c>
      <c r="E18" s="21">
        <f>D18</f>
        <v>8</v>
      </c>
      <c r="F18" s="52" t="e">
        <f>_xlfn.XLOOKUP(_xlfn.XLOOKUP($B18,Leaderboard!$D$2:$D$10,Leaderboard!F$2:F$10),$A$23:$A$31,$B$23:$B$31)+E18</f>
        <v>#N/A</v>
      </c>
      <c r="G18" s="52" t="e">
        <f>_xlfn.XLOOKUP(_xlfn.XLOOKUP($B18,Leaderboard!$D$2:$D$10,Leaderboard!I$2:I$10),$A$23:$A$31,$B$23:$B$31)+F18</f>
        <v>#N/A</v>
      </c>
      <c r="H18" s="52" t="e">
        <f>_xlfn.XLOOKUP(_xlfn.XLOOKUP($B18,Leaderboard!$D$2:$D$10,Leaderboard!L$2:L$10),$A$23:$A$31,$B$23:$B$31)+G18</f>
        <v>#N/A</v>
      </c>
      <c r="I18" s="52" t="e">
        <f>_xlfn.XLOOKUP(_xlfn.XLOOKUP($B18,Leaderboard!$D$2:$D$10,Leaderboard!R$2:R$10),$A$23:$A$31,$B$23:$B$31)+H18</f>
        <v>#N/A</v>
      </c>
      <c r="K18" s="115"/>
    </row>
    <row r="19" spans="1:11">
      <c r="A19" s="102"/>
      <c r="B19" s="102"/>
      <c r="C19" s="102"/>
      <c r="D19" s="103"/>
      <c r="E19" s="103"/>
      <c r="F19" s="104"/>
      <c r="G19" s="104"/>
      <c r="H19" s="104"/>
      <c r="I19" s="104"/>
    </row>
    <row r="21" spans="1:11">
      <c r="A21" s="139" t="s">
        <v>45</v>
      </c>
      <c r="B21" s="139"/>
      <c r="C21" s="112"/>
    </row>
    <row r="22" spans="1:11">
      <c r="A22" s="2" t="s">
        <v>1</v>
      </c>
      <c r="B22" s="52" t="s">
        <v>46</v>
      </c>
      <c r="C22" s="104"/>
    </row>
    <row r="23" spans="1:11">
      <c r="A23" s="2">
        <v>1</v>
      </c>
      <c r="B23" s="52">
        <v>-2</v>
      </c>
      <c r="C23" s="104"/>
    </row>
    <row r="24" spans="1:11">
      <c r="A24" s="2">
        <v>2</v>
      </c>
      <c r="B24" s="52">
        <v>-1.75</v>
      </c>
      <c r="C24" s="104"/>
    </row>
    <row r="25" spans="1:11">
      <c r="A25" s="2">
        <v>3</v>
      </c>
      <c r="B25" s="52">
        <v>-1.5</v>
      </c>
      <c r="C25" s="104"/>
    </row>
    <row r="26" spans="1:11">
      <c r="A26" s="2">
        <v>4</v>
      </c>
      <c r="B26" s="52">
        <v>-1.25</v>
      </c>
      <c r="C26" s="104"/>
    </row>
    <row r="27" spans="1:11">
      <c r="A27" s="2">
        <v>5</v>
      </c>
      <c r="B27" s="52">
        <v>-1</v>
      </c>
      <c r="C27" s="104"/>
    </row>
    <row r="28" spans="1:11">
      <c r="A28" s="2">
        <v>6</v>
      </c>
      <c r="B28" s="52">
        <v>-0.75</v>
      </c>
      <c r="C28" s="104"/>
    </row>
    <row r="29" spans="1:11">
      <c r="A29" s="2">
        <v>7</v>
      </c>
      <c r="B29" s="52">
        <v>-0.5</v>
      </c>
      <c r="C29" s="104"/>
    </row>
    <row r="30" spans="1:11">
      <c r="A30" s="2">
        <v>8</v>
      </c>
      <c r="B30" s="52">
        <v>-0.25</v>
      </c>
      <c r="C30" s="104"/>
    </row>
    <row r="31" spans="1:11">
      <c r="A31" s="2">
        <v>9</v>
      </c>
      <c r="B31" s="52">
        <v>0.25</v>
      </c>
      <c r="C31" s="104"/>
    </row>
    <row r="32" spans="1:11">
      <c r="A32" s="2">
        <v>10</v>
      </c>
      <c r="B32" s="52">
        <v>0.5</v>
      </c>
      <c r="C32" s="104"/>
    </row>
    <row r="33" spans="1:3">
      <c r="A33" s="2">
        <v>11</v>
      </c>
      <c r="B33" s="52">
        <v>0.75</v>
      </c>
      <c r="C33" s="104"/>
    </row>
    <row r="34" spans="1:3">
      <c r="A34" s="2">
        <v>12</v>
      </c>
      <c r="B34" s="52">
        <v>1</v>
      </c>
      <c r="C34" s="104"/>
    </row>
    <row r="35" spans="1:3">
      <c r="A35" s="2">
        <v>13</v>
      </c>
      <c r="B35" s="52">
        <v>1.25</v>
      </c>
      <c r="C35" s="104"/>
    </row>
    <row r="36" spans="1:3">
      <c r="A36" s="2">
        <v>14</v>
      </c>
      <c r="B36" s="52">
        <v>1.5</v>
      </c>
      <c r="C36" s="104"/>
    </row>
    <row r="37" spans="1:3">
      <c r="A37" s="2">
        <v>15</v>
      </c>
      <c r="B37" s="52">
        <v>1.75</v>
      </c>
      <c r="C37" s="104"/>
    </row>
    <row r="38" spans="1:3">
      <c r="A38" s="2">
        <v>16</v>
      </c>
      <c r="B38" s="52">
        <v>2</v>
      </c>
      <c r="C38" s="104"/>
    </row>
  </sheetData>
  <sortState xmlns:xlrd2="http://schemas.microsoft.com/office/spreadsheetml/2017/richdata2" ref="A3:I18">
    <sortCondition ref="B3:B18"/>
  </sortState>
  <mergeCells count="1">
    <mergeCell ref="A21:B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F0D9-9F2F-4FF8-ABD0-2FB27BDD798E}">
  <dimension ref="A1:GB26"/>
  <sheetViews>
    <sheetView tabSelected="1" workbookViewId="0">
      <pane ySplit="2" topLeftCell="EZ3" activePane="bottomLeft" state="frozen"/>
      <selection pane="bottomLeft" activeCell="BW2" sqref="BW2:DE2"/>
    </sheetView>
  </sheetViews>
  <sheetFormatPr defaultRowHeight="15"/>
  <cols>
    <col min="1" max="1" width="5.28515625" style="1" customWidth="1"/>
    <col min="2" max="36" width="3" style="1" customWidth="1"/>
    <col min="38" max="38" width="5.28515625" customWidth="1"/>
    <col min="39" max="73" width="3" customWidth="1"/>
    <col min="75" max="75" width="5.28515625" customWidth="1"/>
    <col min="76" max="110" width="3" customWidth="1"/>
    <col min="112" max="112" width="5.28515625" customWidth="1"/>
    <col min="113" max="147" width="3" customWidth="1"/>
    <col min="149" max="149" width="5.28515625" customWidth="1"/>
    <col min="150" max="184" width="3" customWidth="1"/>
  </cols>
  <sheetData>
    <row r="1" spans="1:184" s="99" customFormat="1" ht="8.25" customHeight="1">
      <c r="A1" s="97"/>
      <c r="B1" s="98"/>
      <c r="C1" s="98"/>
      <c r="D1" s="98"/>
      <c r="E1" s="98">
        <v>1</v>
      </c>
      <c r="F1" s="98"/>
      <c r="G1" s="98">
        <f>E1+1</f>
        <v>2</v>
      </c>
      <c r="H1" s="98"/>
      <c r="I1" s="98">
        <f>G1+1</f>
        <v>3</v>
      </c>
      <c r="J1" s="98"/>
      <c r="K1" s="98">
        <f>I1+1</f>
        <v>4</v>
      </c>
      <c r="L1" s="98"/>
      <c r="M1" s="98">
        <f>K1+1</f>
        <v>5</v>
      </c>
      <c r="N1" s="98"/>
      <c r="O1" s="98">
        <f>M1+1</f>
        <v>6</v>
      </c>
      <c r="P1" s="98"/>
      <c r="Q1" s="98">
        <f>O1+1</f>
        <v>7</v>
      </c>
      <c r="R1" s="98"/>
      <c r="S1" s="98">
        <f>Q1+1</f>
        <v>8</v>
      </c>
      <c r="T1" s="98"/>
      <c r="U1" s="98">
        <f>S1+1</f>
        <v>9</v>
      </c>
      <c r="W1" s="98">
        <v>1</v>
      </c>
      <c r="X1" s="98"/>
      <c r="Y1" s="98">
        <f>W1+1</f>
        <v>2</v>
      </c>
      <c r="Z1" s="98"/>
      <c r="AA1" s="98">
        <f>Y1+1</f>
        <v>3</v>
      </c>
      <c r="AB1" s="98"/>
      <c r="AC1" s="98">
        <f>AA1+1</f>
        <v>4</v>
      </c>
      <c r="AD1" s="98"/>
      <c r="AE1" s="98">
        <f>AC1+1</f>
        <v>5</v>
      </c>
      <c r="AF1" s="98"/>
      <c r="AG1" s="98">
        <f>AE1+1</f>
        <v>6</v>
      </c>
      <c r="AH1" s="98"/>
      <c r="AI1" s="98">
        <f>AG1+1</f>
        <v>7</v>
      </c>
      <c r="AJ1" s="98"/>
      <c r="AL1" s="97"/>
      <c r="AM1" s="98"/>
      <c r="AN1" s="98"/>
      <c r="AO1" s="98"/>
      <c r="AP1" s="98">
        <v>1</v>
      </c>
      <c r="AQ1" s="98"/>
      <c r="AR1" s="98">
        <f>AP1+1</f>
        <v>2</v>
      </c>
      <c r="AS1" s="98"/>
      <c r="AT1" s="98">
        <f>AR1+1</f>
        <v>3</v>
      </c>
      <c r="AU1" s="98"/>
      <c r="AV1" s="98">
        <f>AT1+1</f>
        <v>4</v>
      </c>
      <c r="AW1" s="98"/>
      <c r="AX1" s="98">
        <f>AV1+1</f>
        <v>5</v>
      </c>
      <c r="AY1" s="98"/>
      <c r="AZ1" s="98">
        <f>AX1+1</f>
        <v>6</v>
      </c>
      <c r="BA1" s="98"/>
      <c r="BB1" s="98">
        <f>AZ1+1</f>
        <v>7</v>
      </c>
      <c r="BC1" s="98"/>
      <c r="BD1" s="98">
        <f>BB1+1</f>
        <v>8</v>
      </c>
      <c r="BE1" s="98"/>
      <c r="BF1" s="98">
        <f>BD1+1</f>
        <v>9</v>
      </c>
      <c r="BH1" s="98">
        <v>1</v>
      </c>
      <c r="BI1" s="98"/>
      <c r="BJ1" s="98">
        <f>BH1+1</f>
        <v>2</v>
      </c>
      <c r="BK1" s="98"/>
      <c r="BL1" s="98">
        <f>BJ1+1</f>
        <v>3</v>
      </c>
      <c r="BM1" s="98"/>
      <c r="BN1" s="98">
        <f>BL1+1</f>
        <v>4</v>
      </c>
      <c r="BO1" s="98"/>
      <c r="BP1" s="98">
        <f>BN1+1</f>
        <v>5</v>
      </c>
      <c r="BQ1" s="98"/>
      <c r="BR1" s="98">
        <f>BP1+1</f>
        <v>6</v>
      </c>
      <c r="BS1" s="98"/>
      <c r="BT1" s="98">
        <f>BR1+1</f>
        <v>7</v>
      </c>
      <c r="BU1" s="98"/>
      <c r="BW1" s="97"/>
      <c r="BX1" s="98"/>
      <c r="BY1" s="98"/>
      <c r="BZ1" s="98"/>
      <c r="CA1" s="98">
        <v>1</v>
      </c>
      <c r="CB1" s="98"/>
      <c r="CC1" s="98">
        <f>CA1+1</f>
        <v>2</v>
      </c>
      <c r="CD1" s="98"/>
      <c r="CE1" s="98">
        <f>CC1+1</f>
        <v>3</v>
      </c>
      <c r="CF1" s="98"/>
      <c r="CG1" s="98">
        <f>CE1+1</f>
        <v>4</v>
      </c>
      <c r="CH1" s="98"/>
      <c r="CI1" s="98">
        <f>CG1+1</f>
        <v>5</v>
      </c>
      <c r="CJ1" s="98"/>
      <c r="CK1" s="98">
        <f>CI1+1</f>
        <v>6</v>
      </c>
      <c r="CL1" s="98"/>
      <c r="CM1" s="98">
        <f>CK1+1</f>
        <v>7</v>
      </c>
      <c r="CN1" s="98"/>
      <c r="CO1" s="98">
        <f>CM1+1</f>
        <v>8</v>
      </c>
      <c r="CP1" s="98"/>
      <c r="CQ1" s="98">
        <f>CO1+1</f>
        <v>9</v>
      </c>
      <c r="CS1" s="98">
        <v>1</v>
      </c>
      <c r="CT1" s="98"/>
      <c r="CU1" s="98">
        <f>CS1+1</f>
        <v>2</v>
      </c>
      <c r="CV1" s="98"/>
      <c r="CW1" s="98">
        <f>CU1+1</f>
        <v>3</v>
      </c>
      <c r="CX1" s="98"/>
      <c r="CY1" s="98">
        <f>CW1+1</f>
        <v>4</v>
      </c>
      <c r="CZ1" s="98"/>
      <c r="DA1" s="98">
        <f>CY1+1</f>
        <v>5</v>
      </c>
      <c r="DB1" s="98"/>
      <c r="DC1" s="98">
        <f>DA1+1</f>
        <v>6</v>
      </c>
      <c r="DD1" s="98"/>
      <c r="DE1" s="98">
        <f>DC1+1</f>
        <v>7</v>
      </c>
      <c r="DF1" s="98"/>
      <c r="DH1" s="97"/>
      <c r="DI1" s="98"/>
      <c r="DJ1" s="98"/>
      <c r="DK1" s="98"/>
      <c r="DL1" s="98">
        <v>1</v>
      </c>
      <c r="DM1" s="98"/>
      <c r="DN1" s="98">
        <f>DL1+1</f>
        <v>2</v>
      </c>
      <c r="DO1" s="98"/>
      <c r="DP1" s="98">
        <f>DN1+1</f>
        <v>3</v>
      </c>
      <c r="DQ1" s="98"/>
      <c r="DR1" s="98">
        <f>DP1+1</f>
        <v>4</v>
      </c>
      <c r="DS1" s="98"/>
      <c r="DT1" s="98">
        <f>DR1+1</f>
        <v>5</v>
      </c>
      <c r="DU1" s="98"/>
      <c r="DV1" s="98">
        <f>DT1+1</f>
        <v>6</v>
      </c>
      <c r="DW1" s="98"/>
      <c r="DX1" s="98">
        <f>DV1+1</f>
        <v>7</v>
      </c>
      <c r="DY1" s="98"/>
      <c r="DZ1" s="98">
        <f>DX1+1</f>
        <v>8</v>
      </c>
      <c r="EA1" s="98"/>
      <c r="EB1" s="98">
        <f>DZ1+1</f>
        <v>9</v>
      </c>
      <c r="ED1" s="98">
        <v>1</v>
      </c>
      <c r="EE1" s="98"/>
      <c r="EF1" s="98">
        <f>ED1+1</f>
        <v>2</v>
      </c>
      <c r="EG1" s="98"/>
      <c r="EH1" s="98">
        <f>EF1+1</f>
        <v>3</v>
      </c>
      <c r="EI1" s="98"/>
      <c r="EJ1" s="98">
        <f>EH1+1</f>
        <v>4</v>
      </c>
      <c r="EK1" s="98"/>
      <c r="EL1" s="98">
        <f>EJ1+1</f>
        <v>5</v>
      </c>
      <c r="EM1" s="98"/>
      <c r="EN1" s="98">
        <f>EL1+1</f>
        <v>6</v>
      </c>
      <c r="EO1" s="98"/>
      <c r="EP1" s="98">
        <f>EN1+1</f>
        <v>7</v>
      </c>
      <c r="EQ1" s="98"/>
      <c r="ES1" s="97"/>
      <c r="ET1" s="98"/>
      <c r="EU1" s="98"/>
      <c r="EV1" s="98"/>
      <c r="EW1" s="98">
        <v>1</v>
      </c>
      <c r="EX1" s="98"/>
      <c r="EY1" s="98">
        <f>EW1+1</f>
        <v>2</v>
      </c>
      <c r="EZ1" s="98"/>
      <c r="FA1" s="98">
        <f>EY1+1</f>
        <v>3</v>
      </c>
      <c r="FB1" s="98"/>
      <c r="FC1" s="98">
        <f>FA1+1</f>
        <v>4</v>
      </c>
      <c r="FD1" s="98"/>
      <c r="FE1" s="98">
        <f>FC1+1</f>
        <v>5</v>
      </c>
      <c r="FF1" s="98"/>
      <c r="FG1" s="98">
        <f>FE1+1</f>
        <v>6</v>
      </c>
      <c r="FH1" s="98"/>
      <c r="FI1" s="98">
        <f>FG1+1</f>
        <v>7</v>
      </c>
      <c r="FJ1" s="98"/>
      <c r="FK1" s="98">
        <f>FI1+1</f>
        <v>8</v>
      </c>
      <c r="FL1" s="98"/>
      <c r="FM1" s="98">
        <f>FK1+1</f>
        <v>9</v>
      </c>
      <c r="FO1" s="98">
        <v>1</v>
      </c>
      <c r="FP1" s="98"/>
      <c r="FQ1" s="98">
        <f>FO1+1</f>
        <v>2</v>
      </c>
      <c r="FR1" s="98"/>
      <c r="FS1" s="98">
        <f>FQ1+1</f>
        <v>3</v>
      </c>
      <c r="FT1" s="98"/>
      <c r="FU1" s="98">
        <f>FS1+1</f>
        <v>4</v>
      </c>
      <c r="FV1" s="98"/>
      <c r="FW1" s="98">
        <f>FU1+1</f>
        <v>5</v>
      </c>
      <c r="FX1" s="98"/>
      <c r="FY1" s="98">
        <f>FW1+1</f>
        <v>6</v>
      </c>
      <c r="FZ1" s="98"/>
      <c r="GA1" s="98">
        <f>FY1+1</f>
        <v>7</v>
      </c>
      <c r="GB1" s="98"/>
    </row>
    <row r="2" spans="1:184" s="94" customFormat="1" ht="23.25" customHeight="1">
      <c r="A2" s="140" t="s">
        <v>47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33"/>
      <c r="AL2" s="140" t="s">
        <v>48</v>
      </c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33"/>
      <c r="BW2" s="140" t="s">
        <v>49</v>
      </c>
      <c r="BX2" s="141"/>
      <c r="BY2" s="141"/>
      <c r="BZ2" s="141"/>
      <c r="CA2" s="141"/>
      <c r="CB2" s="141"/>
      <c r="CC2" s="141"/>
      <c r="CD2" s="141"/>
      <c r="CE2" s="141"/>
      <c r="CF2" s="141"/>
      <c r="CG2" s="141"/>
      <c r="CH2" s="141"/>
      <c r="CI2" s="141"/>
      <c r="CJ2" s="141"/>
      <c r="CK2" s="141"/>
      <c r="CL2" s="141"/>
      <c r="CM2" s="141"/>
      <c r="CN2" s="141"/>
      <c r="CO2" s="141"/>
      <c r="CP2" s="141"/>
      <c r="CQ2" s="141"/>
      <c r="CR2" s="141"/>
      <c r="CS2" s="141"/>
      <c r="CT2" s="141"/>
      <c r="CU2" s="141"/>
      <c r="CV2" s="141"/>
      <c r="CW2" s="141"/>
      <c r="CX2" s="141"/>
      <c r="CY2" s="141"/>
      <c r="CZ2" s="141"/>
      <c r="DA2" s="141"/>
      <c r="DB2" s="141"/>
      <c r="DC2" s="141"/>
      <c r="DD2" s="141"/>
      <c r="DE2" s="141"/>
      <c r="DF2" s="133"/>
      <c r="DH2" s="140" t="s">
        <v>50</v>
      </c>
      <c r="DI2" s="141"/>
      <c r="DJ2" s="141"/>
      <c r="DK2" s="141"/>
      <c r="DL2" s="141"/>
      <c r="DM2" s="141"/>
      <c r="DN2" s="141"/>
      <c r="DO2" s="141"/>
      <c r="DP2" s="141"/>
      <c r="DQ2" s="141"/>
      <c r="DR2" s="141"/>
      <c r="DS2" s="141"/>
      <c r="DT2" s="141"/>
      <c r="DU2" s="141"/>
      <c r="DV2" s="141"/>
      <c r="DW2" s="141"/>
      <c r="DX2" s="141"/>
      <c r="DY2" s="141"/>
      <c r="DZ2" s="141"/>
      <c r="EA2" s="141"/>
      <c r="EB2" s="141"/>
      <c r="EC2" s="141"/>
      <c r="ED2" s="141"/>
      <c r="EE2" s="141"/>
      <c r="EF2" s="141"/>
      <c r="EG2" s="141"/>
      <c r="EH2" s="141"/>
      <c r="EI2" s="141"/>
      <c r="EJ2" s="141"/>
      <c r="EK2" s="141"/>
      <c r="EL2" s="141"/>
      <c r="EM2" s="141"/>
      <c r="EN2" s="141"/>
      <c r="EO2" s="141"/>
      <c r="EP2" s="141"/>
      <c r="EQ2" s="133"/>
      <c r="ES2" s="140" t="s">
        <v>51</v>
      </c>
      <c r="ET2" s="141"/>
      <c r="EU2" s="141"/>
      <c r="EV2" s="141"/>
      <c r="EW2" s="141"/>
      <c r="EX2" s="141"/>
      <c r="EY2" s="141"/>
      <c r="EZ2" s="141"/>
      <c r="FA2" s="141"/>
      <c r="FB2" s="141"/>
      <c r="FC2" s="141"/>
      <c r="FD2" s="141"/>
      <c r="FE2" s="141"/>
      <c r="FF2" s="141"/>
      <c r="FG2" s="141"/>
      <c r="FH2" s="141"/>
      <c r="FI2" s="141"/>
      <c r="FJ2" s="141"/>
      <c r="FK2" s="141"/>
      <c r="FL2" s="141"/>
      <c r="FM2" s="141"/>
      <c r="FN2" s="141"/>
      <c r="FO2" s="141"/>
      <c r="FP2" s="141"/>
      <c r="FQ2" s="141"/>
      <c r="FR2" s="141"/>
      <c r="FS2" s="141"/>
      <c r="FT2" s="141"/>
      <c r="FU2" s="141"/>
      <c r="FV2" s="141"/>
      <c r="FW2" s="141"/>
      <c r="FX2" s="141"/>
      <c r="FY2" s="141"/>
      <c r="FZ2" s="141"/>
      <c r="GA2" s="141"/>
      <c r="GB2" s="133"/>
    </row>
    <row r="3" spans="1:184" ht="80.25" customHeight="1">
      <c r="A3" s="120">
        <v>1</v>
      </c>
      <c r="B3" s="121" t="s">
        <v>52</v>
      </c>
      <c r="C3" s="122" t="s">
        <v>53</v>
      </c>
      <c r="D3" s="123"/>
      <c r="E3" s="108" t="s">
        <v>13</v>
      </c>
      <c r="F3" s="39" t="s">
        <v>54</v>
      </c>
      <c r="G3" s="38" t="str" cm="1">
        <f t="array" aca="1" ref="G3" ca="1">OFFSET(Handicapping!$B$2,G$1,,)</f>
        <v>Hoy, John</v>
      </c>
      <c r="H3" s="39" t="s">
        <v>54</v>
      </c>
      <c r="I3" s="38" t="str" cm="1">
        <f t="array" aca="1" ref="I3" ca="1">OFFSET(Handicapping!$B$2,I$1,,)</f>
        <v>Ireland, Kev</v>
      </c>
      <c r="J3" s="39" t="s">
        <v>54</v>
      </c>
      <c r="K3" s="38" t="str" cm="1">
        <f t="array" aca="1" ref="K3" ca="1">OFFSET(Handicapping!$B$2,K$1,,)</f>
        <v>Lay, Greg</v>
      </c>
      <c r="L3" s="39" t="s">
        <v>54</v>
      </c>
      <c r="M3" s="38" t="str" cm="1">
        <f t="array" aca="1" ref="M3" ca="1">OFFSET(Handicapping!$B$2,M$1,,)</f>
        <v>Leeson, Chris</v>
      </c>
      <c r="N3" s="39" t="s">
        <v>54</v>
      </c>
      <c r="O3" s="38" t="str" cm="1">
        <f t="array" aca="1" ref="O3" ca="1">OFFSET(Handicapping!$B$2,O$1,,)</f>
        <v>Maher, Joel</v>
      </c>
      <c r="P3" s="39" t="s">
        <v>54</v>
      </c>
      <c r="Q3" s="38" t="str" cm="1">
        <f t="array" aca="1" ref="Q3" ca="1">OFFSET(Handicapping!$B$2,Q$1,,)</f>
        <v>Marshall, Jayme</v>
      </c>
      <c r="R3" s="39" t="s">
        <v>54</v>
      </c>
      <c r="S3" s="38" t="str" cm="1">
        <f t="array" aca="1" ref="S3" ca="1">OFFSET(Handicapping!$B$2,S$1,,)</f>
        <v>McDowell, Steve</v>
      </c>
      <c r="T3" s="39" t="s">
        <v>54</v>
      </c>
      <c r="U3" s="38" t="str" cm="1">
        <f t="array" aca="1" ref="U3" ca="1">OFFSET(Handicapping!$B$2,U$1,,)</f>
        <v>McEwan, Paul</v>
      </c>
      <c r="V3" s="116" t="s">
        <v>54</v>
      </c>
      <c r="W3" s="108" t="s">
        <v>31</v>
      </c>
      <c r="X3" s="39" t="s">
        <v>54</v>
      </c>
      <c r="Y3" s="38" t="s">
        <v>33</v>
      </c>
      <c r="Z3" s="39" t="s">
        <v>54</v>
      </c>
      <c r="AA3" s="38" t="s">
        <v>35</v>
      </c>
      <c r="AB3" s="39" t="s">
        <v>54</v>
      </c>
      <c r="AC3" s="38" t="s">
        <v>37</v>
      </c>
      <c r="AD3" s="39" t="s">
        <v>54</v>
      </c>
      <c r="AE3" s="38" t="s">
        <v>39</v>
      </c>
      <c r="AF3" s="39" t="s">
        <v>54</v>
      </c>
      <c r="AG3" s="38" t="s">
        <v>41</v>
      </c>
      <c r="AH3" s="39" t="s">
        <v>54</v>
      </c>
      <c r="AI3" s="107" t="s">
        <v>43</v>
      </c>
      <c r="AJ3" s="132" t="s">
        <v>54</v>
      </c>
      <c r="AL3" s="120">
        <v>1</v>
      </c>
      <c r="AM3" s="121" t="s">
        <v>52</v>
      </c>
      <c r="AN3" s="122" t="s">
        <v>53</v>
      </c>
      <c r="AO3" s="123"/>
      <c r="AP3" s="108" t="s">
        <v>13</v>
      </c>
      <c r="AQ3" s="39" t="s">
        <v>54</v>
      </c>
      <c r="AR3" s="38" t="str" cm="1">
        <f t="array" aca="1" ref="AR3" ca="1">OFFSET(Handicapping!$B$2,AR$1,,)</f>
        <v>Hoy, John</v>
      </c>
      <c r="AS3" s="39" t="s">
        <v>54</v>
      </c>
      <c r="AT3" s="38" t="str" cm="1">
        <f t="array" aca="1" ref="AT3" ca="1">OFFSET(Handicapping!$B$2,AT$1,,)</f>
        <v>Ireland, Kev</v>
      </c>
      <c r="AU3" s="39" t="s">
        <v>54</v>
      </c>
      <c r="AV3" s="38" t="str" cm="1">
        <f t="array" aca="1" ref="AV3" ca="1">OFFSET(Handicapping!$B$2,AV$1,,)</f>
        <v>Lay, Greg</v>
      </c>
      <c r="AW3" s="39" t="s">
        <v>54</v>
      </c>
      <c r="AX3" s="38" t="str" cm="1">
        <f t="array" aca="1" ref="AX3" ca="1">OFFSET(Handicapping!$B$2,AX$1,,)</f>
        <v>Leeson, Chris</v>
      </c>
      <c r="AY3" s="39" t="s">
        <v>54</v>
      </c>
      <c r="AZ3" s="38" t="str" cm="1">
        <f t="array" aca="1" ref="AZ3" ca="1">OFFSET(Handicapping!$B$2,AZ$1,,)</f>
        <v>Maher, Joel</v>
      </c>
      <c r="BA3" s="39" t="s">
        <v>54</v>
      </c>
      <c r="BB3" s="38" t="str" cm="1">
        <f t="array" aca="1" ref="BB3" ca="1">OFFSET(Handicapping!$B$2,BB$1,,)</f>
        <v>Marshall, Jayme</v>
      </c>
      <c r="BC3" s="39" t="s">
        <v>54</v>
      </c>
      <c r="BD3" s="38" t="str" cm="1">
        <f t="array" aca="1" ref="BD3" ca="1">OFFSET(Handicapping!$B$2,BD$1,,)</f>
        <v>McDowell, Steve</v>
      </c>
      <c r="BE3" s="39" t="s">
        <v>54</v>
      </c>
      <c r="BF3" s="38" t="str" cm="1">
        <f t="array" aca="1" ref="BF3" ca="1">OFFSET(Handicapping!$B$2,BF$1,,)</f>
        <v>McEwan, Paul</v>
      </c>
      <c r="BG3" s="116" t="s">
        <v>54</v>
      </c>
      <c r="BH3" s="108" t="s">
        <v>31</v>
      </c>
      <c r="BI3" s="39" t="s">
        <v>54</v>
      </c>
      <c r="BJ3" s="38" t="s">
        <v>33</v>
      </c>
      <c r="BK3" s="39" t="s">
        <v>54</v>
      </c>
      <c r="BL3" s="38" t="s">
        <v>35</v>
      </c>
      <c r="BM3" s="39" t="s">
        <v>54</v>
      </c>
      <c r="BN3" s="38" t="s">
        <v>37</v>
      </c>
      <c r="BO3" s="39" t="s">
        <v>54</v>
      </c>
      <c r="BP3" s="38" t="s">
        <v>39</v>
      </c>
      <c r="BQ3" s="39" t="s">
        <v>54</v>
      </c>
      <c r="BR3" s="38" t="s">
        <v>41</v>
      </c>
      <c r="BS3" s="39" t="s">
        <v>54</v>
      </c>
      <c r="BT3" s="107" t="s">
        <v>43</v>
      </c>
      <c r="BU3" s="132" t="s">
        <v>54</v>
      </c>
      <c r="BW3" s="120">
        <v>1</v>
      </c>
      <c r="BX3" s="121" t="s">
        <v>52</v>
      </c>
      <c r="BY3" s="122" t="s">
        <v>53</v>
      </c>
      <c r="BZ3" s="123"/>
      <c r="CA3" s="108" t="s">
        <v>13</v>
      </c>
      <c r="CB3" s="39" t="s">
        <v>54</v>
      </c>
      <c r="CC3" s="38" t="str" cm="1">
        <f t="array" aca="1" ref="CC3" ca="1">OFFSET(Handicapping!$B$2,CC$1,,)</f>
        <v>Hoy, John</v>
      </c>
      <c r="CD3" s="39" t="s">
        <v>54</v>
      </c>
      <c r="CE3" s="38" t="str" cm="1">
        <f t="array" aca="1" ref="CE3" ca="1">OFFSET(Handicapping!$B$2,CE$1,,)</f>
        <v>Ireland, Kev</v>
      </c>
      <c r="CF3" s="39" t="s">
        <v>54</v>
      </c>
      <c r="CG3" s="38" t="str" cm="1">
        <f t="array" aca="1" ref="CG3" ca="1">OFFSET(Handicapping!$B$2,CG$1,,)</f>
        <v>Lay, Greg</v>
      </c>
      <c r="CH3" s="39" t="s">
        <v>54</v>
      </c>
      <c r="CI3" s="38" t="str" cm="1">
        <f t="array" aca="1" ref="CI3" ca="1">OFFSET(Handicapping!$B$2,CI$1,,)</f>
        <v>Leeson, Chris</v>
      </c>
      <c r="CJ3" s="39" t="s">
        <v>54</v>
      </c>
      <c r="CK3" s="38" t="str" cm="1">
        <f t="array" aca="1" ref="CK3" ca="1">OFFSET(Handicapping!$B$2,CK$1,,)</f>
        <v>Maher, Joel</v>
      </c>
      <c r="CL3" s="39" t="s">
        <v>54</v>
      </c>
      <c r="CM3" s="38" t="str" cm="1">
        <f t="array" aca="1" ref="CM3" ca="1">OFFSET(Handicapping!$B$2,CM$1,,)</f>
        <v>Marshall, Jayme</v>
      </c>
      <c r="CN3" s="39" t="s">
        <v>54</v>
      </c>
      <c r="CO3" s="38" t="str" cm="1">
        <f t="array" aca="1" ref="CO3" ca="1">OFFSET(Handicapping!$B$2,CO$1,,)</f>
        <v>McDowell, Steve</v>
      </c>
      <c r="CP3" s="39" t="s">
        <v>54</v>
      </c>
      <c r="CQ3" s="38" t="str" cm="1">
        <f t="array" aca="1" ref="CQ3" ca="1">OFFSET(Handicapping!$B$2,CQ$1,,)</f>
        <v>McEwan, Paul</v>
      </c>
      <c r="CR3" s="116" t="s">
        <v>54</v>
      </c>
      <c r="CS3" s="108" t="s">
        <v>31</v>
      </c>
      <c r="CT3" s="39" t="s">
        <v>54</v>
      </c>
      <c r="CU3" s="38" t="s">
        <v>33</v>
      </c>
      <c r="CV3" s="39" t="s">
        <v>54</v>
      </c>
      <c r="CW3" s="38" t="s">
        <v>35</v>
      </c>
      <c r="CX3" s="39" t="s">
        <v>54</v>
      </c>
      <c r="CY3" s="38" t="s">
        <v>37</v>
      </c>
      <c r="CZ3" s="39" t="s">
        <v>54</v>
      </c>
      <c r="DA3" s="38" t="s">
        <v>39</v>
      </c>
      <c r="DB3" s="39" t="s">
        <v>54</v>
      </c>
      <c r="DC3" s="38" t="s">
        <v>41</v>
      </c>
      <c r="DD3" s="39" t="s">
        <v>54</v>
      </c>
      <c r="DE3" s="107" t="s">
        <v>43</v>
      </c>
      <c r="DF3" s="132" t="s">
        <v>54</v>
      </c>
      <c r="DH3" s="120">
        <v>1</v>
      </c>
      <c r="DI3" s="121" t="s">
        <v>52</v>
      </c>
      <c r="DJ3" s="122" t="s">
        <v>53</v>
      </c>
      <c r="DK3" s="123"/>
      <c r="DL3" s="108" t="s">
        <v>13</v>
      </c>
      <c r="DM3" s="39" t="s">
        <v>54</v>
      </c>
      <c r="DN3" s="38" t="str" cm="1">
        <f t="array" aca="1" ref="DN3" ca="1">OFFSET(Handicapping!$B$2,DN$1,,)</f>
        <v>Hoy, John</v>
      </c>
      <c r="DO3" s="39" t="s">
        <v>54</v>
      </c>
      <c r="DP3" s="38" t="str" cm="1">
        <f t="array" aca="1" ref="DP3" ca="1">OFFSET(Handicapping!$B$2,DP$1,,)</f>
        <v>Ireland, Kev</v>
      </c>
      <c r="DQ3" s="39" t="s">
        <v>54</v>
      </c>
      <c r="DR3" s="38" t="str" cm="1">
        <f t="array" aca="1" ref="DR3" ca="1">OFFSET(Handicapping!$B$2,DR$1,,)</f>
        <v>Lay, Greg</v>
      </c>
      <c r="DS3" s="39" t="s">
        <v>54</v>
      </c>
      <c r="DT3" s="38" t="str" cm="1">
        <f t="array" aca="1" ref="DT3" ca="1">OFFSET(Handicapping!$B$2,DT$1,,)</f>
        <v>Leeson, Chris</v>
      </c>
      <c r="DU3" s="39" t="s">
        <v>54</v>
      </c>
      <c r="DV3" s="38" t="str" cm="1">
        <f t="array" aca="1" ref="DV3" ca="1">OFFSET(Handicapping!$B$2,DV$1,,)</f>
        <v>Maher, Joel</v>
      </c>
      <c r="DW3" s="39" t="s">
        <v>54</v>
      </c>
      <c r="DX3" s="38" t="str" cm="1">
        <f t="array" aca="1" ref="DX3" ca="1">OFFSET(Handicapping!$B$2,DX$1,,)</f>
        <v>Marshall, Jayme</v>
      </c>
      <c r="DY3" s="39" t="s">
        <v>54</v>
      </c>
      <c r="DZ3" s="38" t="str" cm="1">
        <f t="array" aca="1" ref="DZ3" ca="1">OFFSET(Handicapping!$B$2,DZ$1,,)</f>
        <v>McDowell, Steve</v>
      </c>
      <c r="EA3" s="39" t="s">
        <v>54</v>
      </c>
      <c r="EB3" s="38" t="str" cm="1">
        <f t="array" aca="1" ref="EB3" ca="1">OFFSET(Handicapping!$B$2,EB$1,,)</f>
        <v>McEwan, Paul</v>
      </c>
      <c r="EC3" s="116" t="s">
        <v>54</v>
      </c>
      <c r="ED3" s="108" t="s">
        <v>31</v>
      </c>
      <c r="EE3" s="39" t="s">
        <v>54</v>
      </c>
      <c r="EF3" s="38" t="s">
        <v>33</v>
      </c>
      <c r="EG3" s="39" t="s">
        <v>54</v>
      </c>
      <c r="EH3" s="38" t="s">
        <v>35</v>
      </c>
      <c r="EI3" s="39" t="s">
        <v>54</v>
      </c>
      <c r="EJ3" s="38" t="s">
        <v>37</v>
      </c>
      <c r="EK3" s="39" t="s">
        <v>54</v>
      </c>
      <c r="EL3" s="38" t="s">
        <v>39</v>
      </c>
      <c r="EM3" s="39" t="s">
        <v>54</v>
      </c>
      <c r="EN3" s="38" t="s">
        <v>41</v>
      </c>
      <c r="EO3" s="39" t="s">
        <v>54</v>
      </c>
      <c r="EP3" s="107" t="s">
        <v>43</v>
      </c>
      <c r="EQ3" s="132" t="s">
        <v>54</v>
      </c>
      <c r="ES3" s="120">
        <v>1</v>
      </c>
      <c r="ET3" s="121" t="s">
        <v>52</v>
      </c>
      <c r="EU3" s="122" t="s">
        <v>53</v>
      </c>
      <c r="EV3" s="123"/>
      <c r="EW3" s="108" t="s">
        <v>13</v>
      </c>
      <c r="EX3" s="39" t="s">
        <v>54</v>
      </c>
      <c r="EY3" s="38" t="str" cm="1">
        <f t="array" aca="1" ref="EY3" ca="1">OFFSET(Handicapping!$B$2,EY$1,,)</f>
        <v>Hoy, John</v>
      </c>
      <c r="EZ3" s="39" t="s">
        <v>54</v>
      </c>
      <c r="FA3" s="38" t="str" cm="1">
        <f t="array" aca="1" ref="FA3" ca="1">OFFSET(Handicapping!$B$2,FA$1,,)</f>
        <v>Ireland, Kev</v>
      </c>
      <c r="FB3" s="39" t="s">
        <v>54</v>
      </c>
      <c r="FC3" s="38" t="str" cm="1">
        <f t="array" aca="1" ref="FC3" ca="1">OFFSET(Handicapping!$B$2,FC$1,,)</f>
        <v>Lay, Greg</v>
      </c>
      <c r="FD3" s="39" t="s">
        <v>54</v>
      </c>
      <c r="FE3" s="38" t="str" cm="1">
        <f t="array" aca="1" ref="FE3" ca="1">OFFSET(Handicapping!$B$2,FE$1,,)</f>
        <v>Leeson, Chris</v>
      </c>
      <c r="FF3" s="39" t="s">
        <v>54</v>
      </c>
      <c r="FG3" s="38" t="str" cm="1">
        <f t="array" aca="1" ref="FG3" ca="1">OFFSET(Handicapping!$B$2,FG$1,,)</f>
        <v>Maher, Joel</v>
      </c>
      <c r="FH3" s="39" t="s">
        <v>54</v>
      </c>
      <c r="FI3" s="38" t="str" cm="1">
        <f t="array" aca="1" ref="FI3" ca="1">OFFSET(Handicapping!$B$2,FI$1,,)</f>
        <v>Marshall, Jayme</v>
      </c>
      <c r="FJ3" s="39" t="s">
        <v>54</v>
      </c>
      <c r="FK3" s="38" t="str" cm="1">
        <f t="array" aca="1" ref="FK3" ca="1">OFFSET(Handicapping!$B$2,FK$1,,)</f>
        <v>McDowell, Steve</v>
      </c>
      <c r="FL3" s="39" t="s">
        <v>54</v>
      </c>
      <c r="FM3" s="38" t="str" cm="1">
        <f t="array" aca="1" ref="FM3" ca="1">OFFSET(Handicapping!$B$2,FM$1,,)</f>
        <v>McEwan, Paul</v>
      </c>
      <c r="FN3" s="116" t="s">
        <v>54</v>
      </c>
      <c r="FO3" s="108" t="s">
        <v>31</v>
      </c>
      <c r="FP3" s="39" t="s">
        <v>54</v>
      </c>
      <c r="FQ3" s="38" t="s">
        <v>33</v>
      </c>
      <c r="FR3" s="39" t="s">
        <v>54</v>
      </c>
      <c r="FS3" s="38" t="s">
        <v>35</v>
      </c>
      <c r="FT3" s="39" t="s">
        <v>54</v>
      </c>
      <c r="FU3" s="38" t="s">
        <v>37</v>
      </c>
      <c r="FV3" s="39" t="s">
        <v>54</v>
      </c>
      <c r="FW3" s="38" t="s">
        <v>39</v>
      </c>
      <c r="FX3" s="39" t="s">
        <v>54</v>
      </c>
      <c r="FY3" s="38" t="s">
        <v>41</v>
      </c>
      <c r="FZ3" s="39" t="s">
        <v>54</v>
      </c>
      <c r="GA3" s="107" t="s">
        <v>43</v>
      </c>
      <c r="GB3" s="132" t="s">
        <v>54</v>
      </c>
    </row>
    <row r="4" spans="1:184" ht="15" customHeight="1">
      <c r="A4" s="109" t="s">
        <v>55</v>
      </c>
      <c r="B4" s="110"/>
      <c r="C4" s="111"/>
      <c r="D4" s="124"/>
      <c r="E4" s="114">
        <f>ROUND(_xlfn.XLOOKUP(E3,Handicapping!$B$3:$B$18,Handicapping!$E$3:$E$18),0)</f>
        <v>14</v>
      </c>
      <c r="F4" s="114"/>
      <c r="G4" s="114">
        <f ca="1">ROUND(_xlfn.XLOOKUP(G3,Handicapping!$B$3:$B$18,Handicapping!$E$3:$E$18),0)</f>
        <v>8</v>
      </c>
      <c r="H4" s="114"/>
      <c r="I4" s="114">
        <f ca="1">ROUND(_xlfn.XLOOKUP(I3,Handicapping!$B$3:$B$18,Handicapping!$E$3:$E$18),0)</f>
        <v>12</v>
      </c>
      <c r="J4" s="114"/>
      <c r="K4" s="114">
        <f ca="1">ROUND(_xlfn.XLOOKUP(K3,Handicapping!$B$3:$B$18,Handicapping!$E$3:$E$18),0)</f>
        <v>12</v>
      </c>
      <c r="L4" s="114"/>
      <c r="M4" s="114">
        <f ca="1">ROUND(_xlfn.XLOOKUP(M3,Handicapping!$B$3:$B$18,Handicapping!$E$3:$E$18),0)</f>
        <v>25</v>
      </c>
      <c r="N4" s="114"/>
      <c r="O4" s="114">
        <f ca="1">ROUND(_xlfn.XLOOKUP(O3,Handicapping!$B$3:$B$18,Handicapping!$E$3:$E$18),0)</f>
        <v>16</v>
      </c>
      <c r="P4" s="114"/>
      <c r="Q4" s="114">
        <f ca="1">ROUND(_xlfn.XLOOKUP(Q3,Handicapping!$B$3:$B$18,Handicapping!$E$3:$E$18),0)</f>
        <v>27</v>
      </c>
      <c r="R4" s="114"/>
      <c r="S4" s="114">
        <f ca="1">ROUND(_xlfn.XLOOKUP(S3,Handicapping!$B$3:$B$18,Handicapping!$E$3:$E$18),0)</f>
        <v>12</v>
      </c>
      <c r="T4" s="114"/>
      <c r="U4" s="114">
        <f ca="1">ROUND(_xlfn.XLOOKUP(U3,Handicapping!$B$3:$B$18,Handicapping!$E$3:$E$18),0)</f>
        <v>21</v>
      </c>
      <c r="V4" s="114"/>
      <c r="W4" s="114">
        <f>ROUND(_xlfn.XLOOKUP(W3,Handicapping!$B$3:$B$18,Handicapping!$E$3:$E$18),0)</f>
        <v>14</v>
      </c>
      <c r="X4" s="114"/>
      <c r="Y4" s="114">
        <f>ROUND(_xlfn.XLOOKUP(Y3,Handicapping!$B$3:$B$18,Handicapping!$E$3:$E$18),0)</f>
        <v>6</v>
      </c>
      <c r="Z4" s="114"/>
      <c r="AA4" s="114">
        <f>ROUND(_xlfn.XLOOKUP(AA3,Handicapping!$B$3:$B$18,Handicapping!$E$3:$E$18),0)</f>
        <v>18</v>
      </c>
      <c r="AB4" s="114"/>
      <c r="AC4" s="114">
        <f>ROUND(_xlfn.XLOOKUP(AC3,Handicapping!$B$3:$B$18,Handicapping!$E$3:$E$18),0)</f>
        <v>8</v>
      </c>
      <c r="AD4" s="114"/>
      <c r="AE4" s="114">
        <f>ROUND(_xlfn.XLOOKUP(AE3,Handicapping!$B$3:$B$18,Handicapping!$E$3:$E$18),0)</f>
        <v>15</v>
      </c>
      <c r="AF4" s="114"/>
      <c r="AG4" s="114">
        <f>ROUND(_xlfn.XLOOKUP(AG3,Handicapping!$B$3:$B$18,Handicapping!$E$3:$E$18),0)</f>
        <v>8</v>
      </c>
      <c r="AH4" s="114"/>
      <c r="AI4" s="131">
        <f>ROUND(_xlfn.XLOOKUP(AI3,Handicapping!$B$3:$B$18,Handicapping!$E$3:$E$18),0)</f>
        <v>8</v>
      </c>
      <c r="AJ4" s="117"/>
      <c r="AL4" s="109" t="s">
        <v>55</v>
      </c>
      <c r="AM4" s="110"/>
      <c r="AN4" s="111"/>
      <c r="AO4" s="124"/>
      <c r="AP4" s="114">
        <f>ROUND(_xlfn.XLOOKUP(AP3,Handicapping!$B$3:$B$18,Handicapping!$E$3:$E$18),0)</f>
        <v>14</v>
      </c>
      <c r="AQ4" s="114"/>
      <c r="AR4" s="114">
        <f ca="1">ROUND(_xlfn.XLOOKUP(AR3,Handicapping!$B$3:$B$18,Handicapping!$E$3:$E$18),0)</f>
        <v>8</v>
      </c>
      <c r="AS4" s="114"/>
      <c r="AT4" s="114">
        <f ca="1">ROUND(_xlfn.XLOOKUP(AT3,Handicapping!$B$3:$B$18,Handicapping!$E$3:$E$18),0)</f>
        <v>12</v>
      </c>
      <c r="AU4" s="114"/>
      <c r="AV4" s="114">
        <f ca="1">ROUND(_xlfn.XLOOKUP(AV3,Handicapping!$B$3:$B$18,Handicapping!$E$3:$E$18),0)</f>
        <v>12</v>
      </c>
      <c r="AW4" s="114"/>
      <c r="AX4" s="114">
        <f ca="1">ROUND(_xlfn.XLOOKUP(AX3,Handicapping!$B$3:$B$18,Handicapping!$E$3:$E$18),0)</f>
        <v>25</v>
      </c>
      <c r="AY4" s="114"/>
      <c r="AZ4" s="114">
        <f ca="1">ROUND(_xlfn.XLOOKUP(AZ3,Handicapping!$B$3:$B$18,Handicapping!$E$3:$E$18),0)</f>
        <v>16</v>
      </c>
      <c r="BA4" s="114"/>
      <c r="BB4" s="114">
        <f ca="1">ROUND(_xlfn.XLOOKUP(BB3,Handicapping!$B$3:$B$18,Handicapping!$E$3:$E$18),0)</f>
        <v>27</v>
      </c>
      <c r="BC4" s="114"/>
      <c r="BD4" s="114">
        <f ca="1">ROUND(_xlfn.XLOOKUP(BD3,Handicapping!$B$3:$B$18,Handicapping!$E$3:$E$18),0)</f>
        <v>12</v>
      </c>
      <c r="BE4" s="114"/>
      <c r="BF4" s="114">
        <f ca="1">ROUND(_xlfn.XLOOKUP(BF3,Handicapping!$B$3:$B$18,Handicapping!$E$3:$E$18),0)</f>
        <v>21</v>
      </c>
      <c r="BG4" s="114"/>
      <c r="BH4" s="114">
        <f>ROUND(_xlfn.XLOOKUP(BH3,Handicapping!$B$3:$B$18,Handicapping!$E$3:$E$18),0)</f>
        <v>14</v>
      </c>
      <c r="BI4" s="114"/>
      <c r="BJ4" s="114">
        <f>ROUND(_xlfn.XLOOKUP(BJ3,Handicapping!$B$3:$B$18,Handicapping!$E$3:$E$18),0)</f>
        <v>6</v>
      </c>
      <c r="BK4" s="114"/>
      <c r="BL4" s="114">
        <f>ROUND(_xlfn.XLOOKUP(BL3,Handicapping!$B$3:$B$18,Handicapping!$E$3:$E$18),0)</f>
        <v>18</v>
      </c>
      <c r="BM4" s="114"/>
      <c r="BN4" s="114">
        <f>ROUND(_xlfn.XLOOKUP(BN3,Handicapping!$B$3:$B$18,Handicapping!$E$3:$E$18),0)</f>
        <v>8</v>
      </c>
      <c r="BO4" s="114"/>
      <c r="BP4" s="114">
        <f>ROUND(_xlfn.XLOOKUP(BP3,Handicapping!$B$3:$B$18,Handicapping!$E$3:$E$18),0)</f>
        <v>15</v>
      </c>
      <c r="BQ4" s="114"/>
      <c r="BR4" s="114">
        <f>ROUND(_xlfn.XLOOKUP(BR3,Handicapping!$B$3:$B$18,Handicapping!$E$3:$E$18),0)</f>
        <v>8</v>
      </c>
      <c r="BS4" s="114"/>
      <c r="BT4" s="131">
        <f>ROUND(_xlfn.XLOOKUP(BT3,Handicapping!$B$3:$B$18,Handicapping!$E$3:$E$18),0)</f>
        <v>8</v>
      </c>
      <c r="BU4" s="117"/>
      <c r="BW4" s="109" t="s">
        <v>55</v>
      </c>
      <c r="BX4" s="110"/>
      <c r="BY4" s="111"/>
      <c r="BZ4" s="124"/>
      <c r="CA4" s="114">
        <f>ROUND(_xlfn.XLOOKUP(CA3,Handicapping!$B$3:$B$18,Handicapping!$E$3:$E$18),0)</f>
        <v>14</v>
      </c>
      <c r="CB4" s="114"/>
      <c r="CC4" s="114">
        <f ca="1">ROUND(_xlfn.XLOOKUP(CC3,Handicapping!$B$3:$B$18,Handicapping!$E$3:$E$18),0)</f>
        <v>8</v>
      </c>
      <c r="CD4" s="114"/>
      <c r="CE4" s="114">
        <f ca="1">ROUND(_xlfn.XLOOKUP(CE3,Handicapping!$B$3:$B$18,Handicapping!$E$3:$E$18),0)</f>
        <v>12</v>
      </c>
      <c r="CF4" s="114"/>
      <c r="CG4" s="114">
        <f ca="1">ROUND(_xlfn.XLOOKUP(CG3,Handicapping!$B$3:$B$18,Handicapping!$E$3:$E$18),0)</f>
        <v>12</v>
      </c>
      <c r="CH4" s="114"/>
      <c r="CI4" s="114">
        <f ca="1">ROUND(_xlfn.XLOOKUP(CI3,Handicapping!$B$3:$B$18,Handicapping!$E$3:$E$18),0)</f>
        <v>25</v>
      </c>
      <c r="CJ4" s="114"/>
      <c r="CK4" s="114">
        <f ca="1">ROUND(_xlfn.XLOOKUP(CK3,Handicapping!$B$3:$B$18,Handicapping!$E$3:$E$18),0)</f>
        <v>16</v>
      </c>
      <c r="CL4" s="114"/>
      <c r="CM4" s="114">
        <f ca="1">ROUND(_xlfn.XLOOKUP(CM3,Handicapping!$B$3:$B$18,Handicapping!$E$3:$E$18),0)</f>
        <v>27</v>
      </c>
      <c r="CN4" s="114"/>
      <c r="CO4" s="114">
        <f ca="1">ROUND(_xlfn.XLOOKUP(CO3,Handicapping!$B$3:$B$18,Handicapping!$E$3:$E$18),0)</f>
        <v>12</v>
      </c>
      <c r="CP4" s="114"/>
      <c r="CQ4" s="114">
        <f ca="1">ROUND(_xlfn.XLOOKUP(CQ3,Handicapping!$B$3:$B$18,Handicapping!$E$3:$E$18),0)</f>
        <v>21</v>
      </c>
      <c r="CR4" s="114"/>
      <c r="CS4" s="114">
        <f>ROUND(_xlfn.XLOOKUP(CS3,Handicapping!$B$3:$B$18,Handicapping!$E$3:$E$18),0)</f>
        <v>14</v>
      </c>
      <c r="CT4" s="114"/>
      <c r="CU4" s="114">
        <f>ROUND(_xlfn.XLOOKUP(CU3,Handicapping!$B$3:$B$18,Handicapping!$E$3:$E$18),0)</f>
        <v>6</v>
      </c>
      <c r="CV4" s="114"/>
      <c r="CW4" s="114">
        <f>ROUND(_xlfn.XLOOKUP(CW3,Handicapping!$B$3:$B$18,Handicapping!$E$3:$E$18),0)</f>
        <v>18</v>
      </c>
      <c r="CX4" s="114"/>
      <c r="CY4" s="114">
        <f>ROUND(_xlfn.XLOOKUP(CY3,Handicapping!$B$3:$B$18,Handicapping!$E$3:$E$18),0)</f>
        <v>8</v>
      </c>
      <c r="CZ4" s="114"/>
      <c r="DA4" s="114">
        <f>ROUND(_xlfn.XLOOKUP(DA3,Handicapping!$B$3:$B$18,Handicapping!$E$3:$E$18),0)</f>
        <v>15</v>
      </c>
      <c r="DB4" s="114"/>
      <c r="DC4" s="114">
        <f>ROUND(_xlfn.XLOOKUP(DC3,Handicapping!$B$3:$B$18,Handicapping!$E$3:$E$18),0)</f>
        <v>8</v>
      </c>
      <c r="DD4" s="114"/>
      <c r="DE4" s="131">
        <f>ROUND(_xlfn.XLOOKUP(DE3,Handicapping!$B$3:$B$18,Handicapping!$E$3:$E$18),0)</f>
        <v>8</v>
      </c>
      <c r="DF4" s="117"/>
      <c r="DH4" s="109" t="s">
        <v>55</v>
      </c>
      <c r="DI4" s="110"/>
      <c r="DJ4" s="111"/>
      <c r="DK4" s="124"/>
      <c r="DL4" s="114">
        <f>ROUND(_xlfn.XLOOKUP(DL3,Handicapping!$B$3:$B$18,Handicapping!$E$3:$E$18),0)</f>
        <v>14</v>
      </c>
      <c r="DM4" s="114"/>
      <c r="DN4" s="114">
        <f ca="1">ROUND(_xlfn.XLOOKUP(DN3,Handicapping!$B$3:$B$18,Handicapping!$E$3:$E$18),0)</f>
        <v>8</v>
      </c>
      <c r="DO4" s="114"/>
      <c r="DP4" s="114">
        <f ca="1">ROUND(_xlfn.XLOOKUP(DP3,Handicapping!$B$3:$B$18,Handicapping!$E$3:$E$18),0)</f>
        <v>12</v>
      </c>
      <c r="DQ4" s="114"/>
      <c r="DR4" s="114">
        <f ca="1">ROUND(_xlfn.XLOOKUP(DR3,Handicapping!$B$3:$B$18,Handicapping!$E$3:$E$18),0)</f>
        <v>12</v>
      </c>
      <c r="DS4" s="114"/>
      <c r="DT4" s="114">
        <f ca="1">ROUND(_xlfn.XLOOKUP(DT3,Handicapping!$B$3:$B$18,Handicapping!$E$3:$E$18),0)</f>
        <v>25</v>
      </c>
      <c r="DU4" s="114"/>
      <c r="DV4" s="114">
        <f ca="1">ROUND(_xlfn.XLOOKUP(DV3,Handicapping!$B$3:$B$18,Handicapping!$E$3:$E$18),0)</f>
        <v>16</v>
      </c>
      <c r="DW4" s="114"/>
      <c r="DX4" s="114">
        <f ca="1">ROUND(_xlfn.XLOOKUP(DX3,Handicapping!$B$3:$B$18,Handicapping!$E$3:$E$18),0)</f>
        <v>27</v>
      </c>
      <c r="DY4" s="114"/>
      <c r="DZ4" s="114">
        <f ca="1">ROUND(_xlfn.XLOOKUP(DZ3,Handicapping!$B$3:$B$18,Handicapping!$E$3:$E$18),0)</f>
        <v>12</v>
      </c>
      <c r="EA4" s="114"/>
      <c r="EB4" s="114">
        <f ca="1">ROUND(_xlfn.XLOOKUP(EB3,Handicapping!$B$3:$B$18,Handicapping!$E$3:$E$18),0)</f>
        <v>21</v>
      </c>
      <c r="EC4" s="114"/>
      <c r="ED4" s="114">
        <f>ROUND(_xlfn.XLOOKUP(ED3,Handicapping!$B$3:$B$18,Handicapping!$E$3:$E$18),0)</f>
        <v>14</v>
      </c>
      <c r="EE4" s="114"/>
      <c r="EF4" s="114">
        <f>ROUND(_xlfn.XLOOKUP(EF3,Handicapping!$B$3:$B$18,Handicapping!$E$3:$E$18),0)</f>
        <v>6</v>
      </c>
      <c r="EG4" s="114"/>
      <c r="EH4" s="114">
        <f>ROUND(_xlfn.XLOOKUP(EH3,Handicapping!$B$3:$B$18,Handicapping!$E$3:$E$18),0)</f>
        <v>18</v>
      </c>
      <c r="EI4" s="114"/>
      <c r="EJ4" s="114">
        <f>ROUND(_xlfn.XLOOKUP(EJ3,Handicapping!$B$3:$B$18,Handicapping!$E$3:$E$18),0)</f>
        <v>8</v>
      </c>
      <c r="EK4" s="114"/>
      <c r="EL4" s="114">
        <f>ROUND(_xlfn.XLOOKUP(EL3,Handicapping!$B$3:$B$18,Handicapping!$E$3:$E$18),0)</f>
        <v>15</v>
      </c>
      <c r="EM4" s="114"/>
      <c r="EN4" s="114">
        <f>ROUND(_xlfn.XLOOKUP(EN3,Handicapping!$B$3:$B$18,Handicapping!$E$3:$E$18),0)</f>
        <v>8</v>
      </c>
      <c r="EO4" s="114"/>
      <c r="EP4" s="131">
        <f>ROUND(_xlfn.XLOOKUP(EP3,Handicapping!$B$3:$B$18,Handicapping!$E$3:$E$18),0)</f>
        <v>8</v>
      </c>
      <c r="EQ4" s="117"/>
      <c r="ES4" s="109" t="s">
        <v>55</v>
      </c>
      <c r="ET4" s="110"/>
      <c r="EU4" s="111"/>
      <c r="EV4" s="124"/>
      <c r="EW4" s="114">
        <f>ROUND(_xlfn.XLOOKUP(EW3,Handicapping!$B$3:$B$18,Handicapping!$E$3:$E$18),0)</f>
        <v>14</v>
      </c>
      <c r="EX4" s="114"/>
      <c r="EY4" s="114">
        <f ca="1">ROUND(_xlfn.XLOOKUP(EY3,Handicapping!$B$3:$B$18,Handicapping!$E$3:$E$18),0)</f>
        <v>8</v>
      </c>
      <c r="EZ4" s="114"/>
      <c r="FA4" s="114">
        <f ca="1">ROUND(_xlfn.XLOOKUP(FA3,Handicapping!$B$3:$B$18,Handicapping!$E$3:$E$18),0)</f>
        <v>12</v>
      </c>
      <c r="FB4" s="114"/>
      <c r="FC4" s="114">
        <f ca="1">ROUND(_xlfn.XLOOKUP(FC3,Handicapping!$B$3:$B$18,Handicapping!$E$3:$E$18),0)</f>
        <v>12</v>
      </c>
      <c r="FD4" s="114"/>
      <c r="FE4" s="114">
        <f ca="1">ROUND(_xlfn.XLOOKUP(FE3,Handicapping!$B$3:$B$18,Handicapping!$E$3:$E$18),0)</f>
        <v>25</v>
      </c>
      <c r="FF4" s="114"/>
      <c r="FG4" s="114">
        <f ca="1">ROUND(_xlfn.XLOOKUP(FG3,Handicapping!$B$3:$B$18,Handicapping!$E$3:$E$18),0)</f>
        <v>16</v>
      </c>
      <c r="FH4" s="114"/>
      <c r="FI4" s="114">
        <f ca="1">ROUND(_xlfn.XLOOKUP(FI3,Handicapping!$B$3:$B$18,Handicapping!$E$3:$E$18),0)</f>
        <v>27</v>
      </c>
      <c r="FJ4" s="114"/>
      <c r="FK4" s="114">
        <f ca="1">ROUND(_xlfn.XLOOKUP(FK3,Handicapping!$B$3:$B$18,Handicapping!$E$3:$E$18),0)</f>
        <v>12</v>
      </c>
      <c r="FL4" s="114"/>
      <c r="FM4" s="114">
        <f ca="1">ROUND(_xlfn.XLOOKUP(FM3,Handicapping!$B$3:$B$18,Handicapping!$E$3:$E$18),0)</f>
        <v>21</v>
      </c>
      <c r="FN4" s="114"/>
      <c r="FO4" s="114">
        <f>ROUND(_xlfn.XLOOKUP(FO3,Handicapping!$B$3:$B$18,Handicapping!$E$3:$E$18),0)</f>
        <v>14</v>
      </c>
      <c r="FP4" s="114"/>
      <c r="FQ4" s="114">
        <f>ROUND(_xlfn.XLOOKUP(FQ3,Handicapping!$B$3:$B$18,Handicapping!$E$3:$E$18),0)</f>
        <v>6</v>
      </c>
      <c r="FR4" s="114"/>
      <c r="FS4" s="114">
        <f>ROUND(_xlfn.XLOOKUP(FS3,Handicapping!$B$3:$B$18,Handicapping!$E$3:$E$18),0)</f>
        <v>18</v>
      </c>
      <c r="FT4" s="114"/>
      <c r="FU4" s="114">
        <f>ROUND(_xlfn.XLOOKUP(FU3,Handicapping!$B$3:$B$18,Handicapping!$E$3:$E$18),0)</f>
        <v>8</v>
      </c>
      <c r="FV4" s="114"/>
      <c r="FW4" s="114">
        <f>ROUND(_xlfn.XLOOKUP(FW3,Handicapping!$B$3:$B$18,Handicapping!$E$3:$E$18),0)</f>
        <v>15</v>
      </c>
      <c r="FX4" s="114"/>
      <c r="FY4" s="114">
        <f>ROUND(_xlfn.XLOOKUP(FY3,Handicapping!$B$3:$B$18,Handicapping!$E$3:$E$18),0)</f>
        <v>8</v>
      </c>
      <c r="FZ4" s="114"/>
      <c r="GA4" s="131">
        <f>ROUND(_xlfn.XLOOKUP(GA3,Handicapping!$B$3:$B$18,Handicapping!$E$3:$E$18),0)</f>
        <v>8</v>
      </c>
      <c r="GB4" s="117"/>
    </row>
    <row r="5" spans="1:184">
      <c r="A5" s="88">
        <v>1</v>
      </c>
      <c r="B5" s="2">
        <v>4</v>
      </c>
      <c r="C5" s="100">
        <v>16</v>
      </c>
      <c r="D5" s="125">
        <f>C5+18</f>
        <v>34</v>
      </c>
      <c r="E5" s="113"/>
      <c r="F5" s="134">
        <f>IF(E5=0,0,MAX(0,IF(E$4&gt;18,IF($D5&lt;=E$4,2,1),IF($C5&lt;=E$4,1,0))-E5+$B5+2))</f>
        <v>0</v>
      </c>
      <c r="G5" s="136"/>
      <c r="H5" s="134">
        <f>IF(G5=0,0,MAX(0,IF(G$4&gt;18,IF($D5&lt;=G$4,2,1),IF($C5&lt;=G$4,1,0))-G5+$B5+2))</f>
        <v>0</v>
      </c>
      <c r="I5" s="136"/>
      <c r="J5" s="134">
        <f>IF(I5=0,0,MAX(0,IF(I$4&gt;18,IF($D5&lt;=I$4,2,1),IF($C5&lt;=I$4,1,0))-I5+$B5+2))</f>
        <v>0</v>
      </c>
      <c r="K5" s="136"/>
      <c r="L5" s="134">
        <f>IF(K5=0,0,MAX(0,IF(K$4&gt;18,IF($D5&lt;=K$4,2,1),IF($C5&lt;=K$4,1,0))-K5+$B5+2))</f>
        <v>0</v>
      </c>
      <c r="M5" s="136"/>
      <c r="N5" s="134">
        <f>IF(M5=0,0,MAX(0,IF(M$4&gt;18,IF($D5&lt;=M$4,2,1),IF($C5&lt;=M$4,1,0))-M5+$B5+2))</f>
        <v>0</v>
      </c>
      <c r="O5" s="136"/>
      <c r="P5" s="134">
        <f>IF(O5=0,0,MAX(0,IF(O$4&gt;18,IF($D5&lt;=O$4,2,1),IF($C5&lt;=O$4,1,0))-O5+$B5+2))</f>
        <v>0</v>
      </c>
      <c r="Q5" s="136"/>
      <c r="R5" s="134">
        <f>IF(Q5=0,0,MAX(0,IF(Q$4&gt;18,IF($D5&lt;=Q$4,2,1),IF($C5&lt;=Q$4,1,0))-Q5+$B5+2))</f>
        <v>0</v>
      </c>
      <c r="S5" s="136"/>
      <c r="T5" s="134">
        <f>IF(S5=0,0,MAX(0,IF(S$4&gt;18,IF($D5&lt;=S$4,2,1),IF($C5&lt;=S$4,1,0))-S5+$B5+2))</f>
        <v>0</v>
      </c>
      <c r="U5" s="137"/>
      <c r="V5" s="134">
        <f>IF(U5=0,0,MAX(0,IF(U$4&gt;18,IF($D5&lt;=U$4,2,1),IF($C5&lt;=U$4,1,0))-U5+$B5+2))</f>
        <v>0</v>
      </c>
      <c r="W5" s="136"/>
      <c r="X5" s="134">
        <f>IF(W5=0,0,MAX(0,IF(W$4&gt;18,IF($D5&lt;=W$4,2,1),IF($C5&lt;=W$4,1,0))-W5+$B5+2))</f>
        <v>0</v>
      </c>
      <c r="Y5" s="136"/>
      <c r="Z5" s="134">
        <f>IF(Y5=0,0,MAX(0,IF(Y$4&gt;18,IF($D5&lt;=Y$4,2,1),IF($C5&lt;=Y$4,1,0))-Y5+$B5+2))</f>
        <v>0</v>
      </c>
      <c r="AA5" s="136"/>
      <c r="AB5" s="134">
        <f>IF(AA5=0,0,MAX(0,IF(AA$4&gt;18,IF($D5&lt;=AA$4,2,1),IF($C5&lt;=AA$4,1,0))-AA5+$B5+2))</f>
        <v>0</v>
      </c>
      <c r="AC5" s="136"/>
      <c r="AD5" s="134">
        <f>IF(AC5=0,0,MAX(0,IF(AC$4&gt;18,IF($D5&lt;=AC$4,2,1),IF($C5&lt;=AC$4,1,0))-AC5+$B5+2))</f>
        <v>0</v>
      </c>
      <c r="AE5" s="136"/>
      <c r="AF5" s="134">
        <f>IF(AE5=0,0,MAX(0,IF(AE$4&gt;18,IF($D5&lt;=AE$4,2,1),IF($C5&lt;=AE$4,1,0))-AE5+$B5+2))</f>
        <v>0</v>
      </c>
      <c r="AG5" s="136"/>
      <c r="AH5" s="134">
        <f>IF(AG5=0,0,MAX(0,IF(AG$4&gt;18,IF($D5&lt;=AG$4,2,1),IF($C5&lt;=AG$4,1,0))-AG5+$B5+2))</f>
        <v>0</v>
      </c>
      <c r="AI5" s="137"/>
      <c r="AJ5" s="135">
        <f>IF(AI5=0,0,MAX(0,IF(AI$4&gt;18,IF($D5&lt;=AI$4,2,1),IF($C5&lt;=AI$4,1,0))-AI5+$B5+2))</f>
        <v>0</v>
      </c>
      <c r="AL5" s="88">
        <v>1</v>
      </c>
      <c r="AM5" s="2">
        <v>4</v>
      </c>
      <c r="AN5" s="100">
        <v>16</v>
      </c>
      <c r="AO5" s="125">
        <f>AN5+18</f>
        <v>34</v>
      </c>
      <c r="AP5" s="113"/>
      <c r="AQ5" s="134">
        <f>IF(AP5=0,0,MAX(0,IF(AP$4&gt;18,IF($D5&lt;=AP$4,2,1),IF($C5&lt;=AP$4,1,0))-AP5+$B5+2))</f>
        <v>0</v>
      </c>
      <c r="AR5" s="136"/>
      <c r="AS5" s="134">
        <f>IF(AR5=0,0,MAX(0,IF(AR$4&gt;18,IF($D5&lt;=AR$4,2,1),IF($C5&lt;=AR$4,1,0))-AR5+$B5+2))</f>
        <v>0</v>
      </c>
      <c r="AT5" s="136"/>
      <c r="AU5" s="134">
        <f>IF(AT5=0,0,MAX(0,IF(AT$4&gt;18,IF($D5&lt;=AT$4,2,1),IF($C5&lt;=AT$4,1,0))-AT5+$B5+2))</f>
        <v>0</v>
      </c>
      <c r="AV5" s="136"/>
      <c r="AW5" s="134">
        <f>IF(AV5=0,0,MAX(0,IF(AV$4&gt;18,IF($D5&lt;=AV$4,2,1),IF($C5&lt;=AV$4,1,0))-AV5+$B5+2))</f>
        <v>0</v>
      </c>
      <c r="AX5" s="136"/>
      <c r="AY5" s="134">
        <f>IF(AX5=0,0,MAX(0,IF(AX$4&gt;18,IF($D5&lt;=AX$4,2,1),IF($C5&lt;=AX$4,1,0))-AX5+$B5+2))</f>
        <v>0</v>
      </c>
      <c r="AZ5" s="136"/>
      <c r="BA5" s="134">
        <f>IF(AZ5=0,0,MAX(0,IF(AZ$4&gt;18,IF($D5&lt;=AZ$4,2,1),IF($C5&lt;=AZ$4,1,0))-AZ5+$B5+2))</f>
        <v>0</v>
      </c>
      <c r="BB5" s="136"/>
      <c r="BC5" s="134">
        <f>IF(BB5=0,0,MAX(0,IF(BB$4&gt;18,IF($D5&lt;=BB$4,2,1),IF($C5&lt;=BB$4,1,0))-BB5+$B5+2))</f>
        <v>0</v>
      </c>
      <c r="BD5" s="136"/>
      <c r="BE5" s="134">
        <f>IF(BD5=0,0,MAX(0,IF(BD$4&gt;18,IF($D5&lt;=BD$4,2,1),IF($C5&lt;=BD$4,1,0))-BD5+$B5+2))</f>
        <v>0</v>
      </c>
      <c r="BF5" s="137"/>
      <c r="BG5" s="134">
        <f>IF(BF5=0,0,MAX(0,IF(BF$4&gt;18,IF($D5&lt;=BF$4,2,1),IF($C5&lt;=BF$4,1,0))-BF5+$B5+2))</f>
        <v>0</v>
      </c>
      <c r="BH5" s="136"/>
      <c r="BI5" s="134">
        <f>IF(BH5=0,0,MAX(0,IF(BH$4&gt;18,IF($D5&lt;=BH$4,2,1),IF($C5&lt;=BH$4,1,0))-BH5+$B5+2))</f>
        <v>0</v>
      </c>
      <c r="BJ5" s="136"/>
      <c r="BK5" s="134">
        <f>IF(BJ5=0,0,MAX(0,IF(BJ$4&gt;18,IF($D5&lt;=BJ$4,2,1),IF($C5&lt;=BJ$4,1,0))-BJ5+$B5+2))</f>
        <v>0</v>
      </c>
      <c r="BL5" s="136"/>
      <c r="BM5" s="134">
        <f>IF(BL5=0,0,MAX(0,IF(BL$4&gt;18,IF($D5&lt;=BL$4,2,1),IF($C5&lt;=BL$4,1,0))-BL5+$B5+2))</f>
        <v>0</v>
      </c>
      <c r="BN5" s="136"/>
      <c r="BO5" s="134">
        <f>IF(BN5=0,0,MAX(0,IF(BN$4&gt;18,IF($D5&lt;=BN$4,2,1),IF($C5&lt;=BN$4,1,0))-BN5+$B5+2))</f>
        <v>0</v>
      </c>
      <c r="BP5" s="136"/>
      <c r="BQ5" s="134">
        <f>IF(BP5=0,0,MAX(0,IF(BP$4&gt;18,IF($D5&lt;=BP$4,2,1),IF($C5&lt;=BP$4,1,0))-BP5+$B5+2))</f>
        <v>0</v>
      </c>
      <c r="BR5" s="136"/>
      <c r="BS5" s="134">
        <f>IF(BR5=0,0,MAX(0,IF(BR$4&gt;18,IF($D5&lt;=BR$4,2,1),IF($C5&lt;=BR$4,1,0))-BR5+$B5+2))</f>
        <v>0</v>
      </c>
      <c r="BT5" s="137"/>
      <c r="BU5" s="135">
        <f>IF(BT5=0,0,MAX(0,IF(BT$4&gt;18,IF($D5&lt;=BT$4,2,1),IF($C5&lt;=BT$4,1,0))-BT5+$B5+2))</f>
        <v>0</v>
      </c>
      <c r="BW5" s="88">
        <v>1</v>
      </c>
      <c r="BX5" s="2">
        <v>4</v>
      </c>
      <c r="BY5" s="100">
        <v>16</v>
      </c>
      <c r="BZ5" s="125">
        <f>BY5+18</f>
        <v>34</v>
      </c>
      <c r="CA5" s="113"/>
      <c r="CB5" s="134">
        <f>IF(CA5=0,0,MAX(0,IF(CA$4&gt;18,IF($D5&lt;=CA$4,2,1),IF($C5&lt;=CA$4,1,0))-CA5+$B5+2))</f>
        <v>0</v>
      </c>
      <c r="CC5" s="136"/>
      <c r="CD5" s="134">
        <f>IF(CC5=0,0,MAX(0,IF(CC$4&gt;18,IF($D5&lt;=CC$4,2,1),IF($C5&lt;=CC$4,1,0))-CC5+$B5+2))</f>
        <v>0</v>
      </c>
      <c r="CE5" s="136"/>
      <c r="CF5" s="134">
        <f>IF(CE5=0,0,MAX(0,IF(CE$4&gt;18,IF($D5&lt;=CE$4,2,1),IF($C5&lt;=CE$4,1,0))-CE5+$B5+2))</f>
        <v>0</v>
      </c>
      <c r="CG5" s="136"/>
      <c r="CH5" s="134">
        <f>IF(CG5=0,0,MAX(0,IF(CG$4&gt;18,IF($D5&lt;=CG$4,2,1),IF($C5&lt;=CG$4,1,0))-CG5+$B5+2))</f>
        <v>0</v>
      </c>
      <c r="CI5" s="136"/>
      <c r="CJ5" s="134">
        <f>IF(CI5=0,0,MAX(0,IF(CI$4&gt;18,IF($D5&lt;=CI$4,2,1),IF($C5&lt;=CI$4,1,0))-CI5+$B5+2))</f>
        <v>0</v>
      </c>
      <c r="CK5" s="136"/>
      <c r="CL5" s="134">
        <f>IF(CK5=0,0,MAX(0,IF(CK$4&gt;18,IF($D5&lt;=CK$4,2,1),IF($C5&lt;=CK$4,1,0))-CK5+$B5+2))</f>
        <v>0</v>
      </c>
      <c r="CM5" s="136"/>
      <c r="CN5" s="134">
        <f>IF(CM5=0,0,MAX(0,IF(CM$4&gt;18,IF($D5&lt;=CM$4,2,1),IF($C5&lt;=CM$4,1,0))-CM5+$B5+2))</f>
        <v>0</v>
      </c>
      <c r="CO5" s="136"/>
      <c r="CP5" s="134">
        <f>IF(CO5=0,0,MAX(0,IF(CO$4&gt;18,IF($D5&lt;=CO$4,2,1),IF($C5&lt;=CO$4,1,0))-CO5+$B5+2))</f>
        <v>0</v>
      </c>
      <c r="CQ5" s="137"/>
      <c r="CR5" s="134">
        <f>IF(CQ5=0,0,MAX(0,IF(CQ$4&gt;18,IF($D5&lt;=CQ$4,2,1),IF($C5&lt;=CQ$4,1,0))-CQ5+$B5+2))</f>
        <v>0</v>
      </c>
      <c r="CS5" s="136"/>
      <c r="CT5" s="134">
        <f>IF(CS5=0,0,MAX(0,IF(CS$4&gt;18,IF($D5&lt;=CS$4,2,1),IF($C5&lt;=CS$4,1,0))-CS5+$B5+2))</f>
        <v>0</v>
      </c>
      <c r="CU5" s="136"/>
      <c r="CV5" s="134">
        <f>IF(CU5=0,0,MAX(0,IF(CU$4&gt;18,IF($D5&lt;=CU$4,2,1),IF($C5&lt;=CU$4,1,0))-CU5+$B5+2))</f>
        <v>0</v>
      </c>
      <c r="CW5" s="136"/>
      <c r="CX5" s="134">
        <f>IF(CW5=0,0,MAX(0,IF(CW$4&gt;18,IF($D5&lt;=CW$4,2,1),IF($C5&lt;=CW$4,1,0))-CW5+$B5+2))</f>
        <v>0</v>
      </c>
      <c r="CY5" s="136"/>
      <c r="CZ5" s="134">
        <f>IF(CY5=0,0,MAX(0,IF(CY$4&gt;18,IF($D5&lt;=CY$4,2,1),IF($C5&lt;=CY$4,1,0))-CY5+$B5+2))</f>
        <v>0</v>
      </c>
      <c r="DA5" s="136"/>
      <c r="DB5" s="134">
        <f>IF(DA5=0,0,MAX(0,IF(DA$4&gt;18,IF($D5&lt;=DA$4,2,1),IF($C5&lt;=DA$4,1,0))-DA5+$B5+2))</f>
        <v>0</v>
      </c>
      <c r="DC5" s="136"/>
      <c r="DD5" s="134">
        <f>IF(DC5=0,0,MAX(0,IF(DC$4&gt;18,IF($D5&lt;=DC$4,2,1),IF($C5&lt;=DC$4,1,0))-DC5+$B5+2))</f>
        <v>0</v>
      </c>
      <c r="DE5" s="137"/>
      <c r="DF5" s="135">
        <f>IF(DE5=0,0,MAX(0,IF(DE$4&gt;18,IF($D5&lt;=DE$4,2,1),IF($C5&lt;=DE$4,1,0))-DE5+$B5+2))</f>
        <v>0</v>
      </c>
      <c r="DH5" s="88">
        <v>1</v>
      </c>
      <c r="DI5" s="2">
        <v>4</v>
      </c>
      <c r="DJ5" s="100">
        <v>16</v>
      </c>
      <c r="DK5" s="125">
        <f>DJ5+18</f>
        <v>34</v>
      </c>
      <c r="DL5" s="113"/>
      <c r="DM5" s="134">
        <f>IF(DL5=0,0,MAX(0,IF(DL$4&gt;18,IF($D5&lt;=DL$4,2,1),IF($C5&lt;=DL$4,1,0))-DL5+$B5+2))</f>
        <v>0</v>
      </c>
      <c r="DN5" s="136"/>
      <c r="DO5" s="134">
        <f>IF(DN5=0,0,MAX(0,IF(DN$4&gt;18,IF($D5&lt;=DN$4,2,1),IF($C5&lt;=DN$4,1,0))-DN5+$B5+2))</f>
        <v>0</v>
      </c>
      <c r="DP5" s="136"/>
      <c r="DQ5" s="134">
        <f>IF(DP5=0,0,MAX(0,IF(DP$4&gt;18,IF($D5&lt;=DP$4,2,1),IF($C5&lt;=DP$4,1,0))-DP5+$B5+2))</f>
        <v>0</v>
      </c>
      <c r="DR5" s="136"/>
      <c r="DS5" s="134">
        <f>IF(DR5=0,0,MAX(0,IF(DR$4&gt;18,IF($D5&lt;=DR$4,2,1),IF($C5&lt;=DR$4,1,0))-DR5+$B5+2))</f>
        <v>0</v>
      </c>
      <c r="DT5" s="136"/>
      <c r="DU5" s="134">
        <f>IF(DT5=0,0,MAX(0,IF(DT$4&gt;18,IF($D5&lt;=DT$4,2,1),IF($C5&lt;=DT$4,1,0))-DT5+$B5+2))</f>
        <v>0</v>
      </c>
      <c r="DV5" s="136"/>
      <c r="DW5" s="134">
        <f>IF(DV5=0,0,MAX(0,IF(DV$4&gt;18,IF($D5&lt;=DV$4,2,1),IF($C5&lt;=DV$4,1,0))-DV5+$B5+2))</f>
        <v>0</v>
      </c>
      <c r="DX5" s="136"/>
      <c r="DY5" s="134">
        <f>IF(DX5=0,0,MAX(0,IF(DX$4&gt;18,IF($D5&lt;=DX$4,2,1),IF($C5&lt;=DX$4,1,0))-DX5+$B5+2))</f>
        <v>0</v>
      </c>
      <c r="DZ5" s="136"/>
      <c r="EA5" s="134">
        <f>IF(DZ5=0,0,MAX(0,IF(DZ$4&gt;18,IF($D5&lt;=DZ$4,2,1),IF($C5&lt;=DZ$4,1,0))-DZ5+$B5+2))</f>
        <v>0</v>
      </c>
      <c r="EB5" s="137"/>
      <c r="EC5" s="134">
        <f>IF(EB5=0,0,MAX(0,IF(EB$4&gt;18,IF($D5&lt;=EB$4,2,1),IF($C5&lt;=EB$4,1,0))-EB5+$B5+2))</f>
        <v>0</v>
      </c>
      <c r="ED5" s="136"/>
      <c r="EE5" s="134">
        <f>IF(ED5=0,0,MAX(0,IF(ED$4&gt;18,IF($D5&lt;=ED$4,2,1),IF($C5&lt;=ED$4,1,0))-ED5+$B5+2))</f>
        <v>0</v>
      </c>
      <c r="EF5" s="136"/>
      <c r="EG5" s="134">
        <f>IF(EF5=0,0,MAX(0,IF(EF$4&gt;18,IF($D5&lt;=EF$4,2,1),IF($C5&lt;=EF$4,1,0))-EF5+$B5+2))</f>
        <v>0</v>
      </c>
      <c r="EH5" s="136"/>
      <c r="EI5" s="134">
        <f>IF(EH5=0,0,MAX(0,IF(EH$4&gt;18,IF($D5&lt;=EH$4,2,1),IF($C5&lt;=EH$4,1,0))-EH5+$B5+2))</f>
        <v>0</v>
      </c>
      <c r="EJ5" s="136"/>
      <c r="EK5" s="134">
        <f>IF(EJ5=0,0,MAX(0,IF(EJ$4&gt;18,IF($D5&lt;=EJ$4,2,1),IF($C5&lt;=EJ$4,1,0))-EJ5+$B5+2))</f>
        <v>0</v>
      </c>
      <c r="EL5" s="136"/>
      <c r="EM5" s="134">
        <f>IF(EL5=0,0,MAX(0,IF(EL$4&gt;18,IF($D5&lt;=EL$4,2,1),IF($C5&lt;=EL$4,1,0))-EL5+$B5+2))</f>
        <v>0</v>
      </c>
      <c r="EN5" s="136"/>
      <c r="EO5" s="134">
        <f>IF(EN5=0,0,MAX(0,IF(EN$4&gt;18,IF($D5&lt;=EN$4,2,1),IF($C5&lt;=EN$4,1,0))-EN5+$B5+2))</f>
        <v>0</v>
      </c>
      <c r="EP5" s="137"/>
      <c r="EQ5" s="135">
        <f>IF(EP5=0,0,MAX(0,IF(EP$4&gt;18,IF($D5&lt;=EP$4,2,1),IF($C5&lt;=EP$4,1,0))-EP5+$B5+2))</f>
        <v>0</v>
      </c>
      <c r="ES5" s="88">
        <v>1</v>
      </c>
      <c r="ET5" s="2">
        <v>4</v>
      </c>
      <c r="EU5" s="100">
        <v>16</v>
      </c>
      <c r="EV5" s="125">
        <f>EU5+18</f>
        <v>34</v>
      </c>
      <c r="EW5" s="113"/>
      <c r="EX5" s="134">
        <f>IF(EW5=0,0,MAX(0,IF(EW$4&gt;18,IF($D5&lt;=EW$4,2,1),IF($C5&lt;=EW$4,1,0))-EW5+$B5+2))</f>
        <v>0</v>
      </c>
      <c r="EY5" s="136"/>
      <c r="EZ5" s="134">
        <f>IF(EY5=0,0,MAX(0,IF(EY$4&gt;18,IF($D5&lt;=EY$4,2,1),IF($C5&lt;=EY$4,1,0))-EY5+$B5+2))</f>
        <v>0</v>
      </c>
      <c r="FA5" s="136"/>
      <c r="FB5" s="134">
        <f>IF(FA5=0,0,MAX(0,IF(FA$4&gt;18,IF($D5&lt;=FA$4,2,1),IF($C5&lt;=FA$4,1,0))-FA5+$B5+2))</f>
        <v>0</v>
      </c>
      <c r="FC5" s="136"/>
      <c r="FD5" s="134">
        <f>IF(FC5=0,0,MAX(0,IF(FC$4&gt;18,IF($D5&lt;=FC$4,2,1),IF($C5&lt;=FC$4,1,0))-FC5+$B5+2))</f>
        <v>0</v>
      </c>
      <c r="FE5" s="136"/>
      <c r="FF5" s="134">
        <f>IF(FE5=0,0,MAX(0,IF(FE$4&gt;18,IF($D5&lt;=FE$4,2,1),IF($C5&lt;=FE$4,1,0))-FE5+$B5+2))</f>
        <v>0</v>
      </c>
      <c r="FG5" s="136"/>
      <c r="FH5" s="134">
        <f>IF(FG5=0,0,MAX(0,IF(FG$4&gt;18,IF($D5&lt;=FG$4,2,1),IF($C5&lt;=FG$4,1,0))-FG5+$B5+2))</f>
        <v>0</v>
      </c>
      <c r="FI5" s="136"/>
      <c r="FJ5" s="134">
        <f>IF(FI5=0,0,MAX(0,IF(FI$4&gt;18,IF($D5&lt;=FI$4,2,1),IF($C5&lt;=FI$4,1,0))-FI5+$B5+2))</f>
        <v>0</v>
      </c>
      <c r="FK5" s="136"/>
      <c r="FL5" s="134">
        <f>IF(FK5=0,0,MAX(0,IF(FK$4&gt;18,IF($D5&lt;=FK$4,2,1),IF($C5&lt;=FK$4,1,0))-FK5+$B5+2))</f>
        <v>0</v>
      </c>
      <c r="FM5" s="137"/>
      <c r="FN5" s="134">
        <f>IF(FM5=0,0,MAX(0,IF(FM$4&gt;18,IF($D5&lt;=FM$4,2,1),IF($C5&lt;=FM$4,1,0))-FM5+$B5+2))</f>
        <v>0</v>
      </c>
      <c r="FO5" s="136"/>
      <c r="FP5" s="134">
        <f>IF(FO5=0,0,MAX(0,IF(FO$4&gt;18,IF($D5&lt;=FO$4,2,1),IF($C5&lt;=FO$4,1,0))-FO5+$B5+2))</f>
        <v>0</v>
      </c>
      <c r="FQ5" s="136"/>
      <c r="FR5" s="134">
        <f>IF(FQ5=0,0,MAX(0,IF(FQ$4&gt;18,IF($D5&lt;=FQ$4,2,1),IF($C5&lt;=FQ$4,1,0))-FQ5+$B5+2))</f>
        <v>0</v>
      </c>
      <c r="FS5" s="136"/>
      <c r="FT5" s="134">
        <f>IF(FS5=0,0,MAX(0,IF(FS$4&gt;18,IF($D5&lt;=FS$4,2,1),IF($C5&lt;=FS$4,1,0))-FS5+$B5+2))</f>
        <v>0</v>
      </c>
      <c r="FU5" s="136"/>
      <c r="FV5" s="134">
        <f>IF(FU5=0,0,MAX(0,IF(FU$4&gt;18,IF($D5&lt;=FU$4,2,1),IF($C5&lt;=FU$4,1,0))-FU5+$B5+2))</f>
        <v>0</v>
      </c>
      <c r="FW5" s="136"/>
      <c r="FX5" s="134">
        <f>IF(FW5=0,0,MAX(0,IF(FW$4&gt;18,IF($D5&lt;=FW$4,2,1),IF($C5&lt;=FW$4,1,0))-FW5+$B5+2))</f>
        <v>0</v>
      </c>
      <c r="FY5" s="136"/>
      <c r="FZ5" s="134">
        <f>IF(FY5=0,0,MAX(0,IF(FY$4&gt;18,IF($D5&lt;=FY$4,2,1),IF($C5&lt;=FY$4,1,0))-FY5+$B5+2))</f>
        <v>0</v>
      </c>
      <c r="GA5" s="137"/>
      <c r="GB5" s="135">
        <f>IF(GA5=0,0,MAX(0,IF(GA$4&gt;18,IF($D5&lt;=GA$4,2,1),IF($C5&lt;=GA$4,1,0))-GA5+$B5+2))</f>
        <v>0</v>
      </c>
    </row>
    <row r="6" spans="1:184">
      <c r="A6" s="88">
        <v>2</v>
      </c>
      <c r="B6" s="2">
        <v>4</v>
      </c>
      <c r="C6" s="100">
        <v>10</v>
      </c>
      <c r="D6" s="125">
        <f t="shared" ref="D6:D23" si="0">C6+18</f>
        <v>28</v>
      </c>
      <c r="E6" s="113"/>
      <c r="F6" s="134">
        <f t="shared" ref="F6:F13" si="1">IF(E6=0,0,MAX(0,IF(E$4&gt;18,IF($D6&lt;=E$4,2,1),IF($C6&lt;=E$4,1,0))-E6+$B6+2))</f>
        <v>0</v>
      </c>
      <c r="G6" s="136"/>
      <c r="H6" s="134">
        <f t="shared" ref="H6:H13" si="2">IF(G6=0,0,MAX(0,IF(G$4&gt;18,IF($D6&lt;=G$4,2,1),IF($C6&lt;=G$4,1,0))-G6+$B6+2))</f>
        <v>0</v>
      </c>
      <c r="I6" s="136"/>
      <c r="J6" s="134">
        <f t="shared" ref="J6:J13" si="3">IF(I6=0,0,MAX(0,IF(I$4&gt;18,IF($D6&lt;=I$4,2,1),IF($C6&lt;=I$4,1,0))-I6+$B6+2))</f>
        <v>0</v>
      </c>
      <c r="K6" s="136"/>
      <c r="L6" s="134">
        <f t="shared" ref="L6:L13" si="4">IF(K6=0,0,MAX(0,IF(K$4&gt;18,IF($D6&lt;=K$4,2,1),IF($C6&lt;=K$4,1,0))-K6+$B6+2))</f>
        <v>0</v>
      </c>
      <c r="M6" s="136"/>
      <c r="N6" s="134">
        <f t="shared" ref="N6:N13" si="5">IF(M6=0,0,MAX(0,IF(M$4&gt;18,IF($D6&lt;=M$4,2,1),IF($C6&lt;=M$4,1,0))-M6+$B6+2))</f>
        <v>0</v>
      </c>
      <c r="O6" s="136"/>
      <c r="P6" s="134">
        <f t="shared" ref="P6:P13" si="6">IF(O6=0,0,MAX(0,IF(O$4&gt;18,IF($D6&lt;=O$4,2,1),IF($C6&lt;=O$4,1,0))-O6+$B6+2))</f>
        <v>0</v>
      </c>
      <c r="Q6" s="136"/>
      <c r="R6" s="134">
        <f t="shared" ref="R6:R13" si="7">IF(Q6=0,0,MAX(0,IF(Q$4&gt;18,IF($D6&lt;=Q$4,2,1),IF($C6&lt;=Q$4,1,0))-Q6+$B6+2))</f>
        <v>0</v>
      </c>
      <c r="S6" s="136"/>
      <c r="T6" s="134">
        <f t="shared" ref="T6:T13" si="8">IF(S6=0,0,MAX(0,IF(S$4&gt;18,IF($D6&lt;=S$4,2,1),IF($C6&lt;=S$4,1,0))-S6+$B6+2))</f>
        <v>0</v>
      </c>
      <c r="U6" s="137"/>
      <c r="V6" s="134">
        <f t="shared" ref="V6:V13" si="9">IF(U6=0,0,MAX(0,IF(U$4&gt;18,IF($D6&lt;=U$4,2,1),IF($C6&lt;=U$4,1,0))-U6+$B6+2))</f>
        <v>0</v>
      </c>
      <c r="W6" s="136"/>
      <c r="X6" s="134">
        <f t="shared" ref="X6:X13" si="10">IF(W6=0,0,MAX(0,IF(W$4&gt;18,IF($D6&lt;=W$4,2,1),IF($C6&lt;=W$4,1,0))-W6+$B6+2))</f>
        <v>0</v>
      </c>
      <c r="Y6" s="136"/>
      <c r="Z6" s="134">
        <f t="shared" ref="Z6:Z13" si="11">IF(Y6=0,0,MAX(0,IF(Y$4&gt;18,IF($D6&lt;=Y$4,2,1),IF($C6&lt;=Y$4,1,0))-Y6+$B6+2))</f>
        <v>0</v>
      </c>
      <c r="AA6" s="136"/>
      <c r="AB6" s="134">
        <f t="shared" ref="AB6:AB13" si="12">IF(AA6=0,0,MAX(0,IF(AA$4&gt;18,IF($D6&lt;=AA$4,2,1),IF($C6&lt;=AA$4,1,0))-AA6+$B6+2))</f>
        <v>0</v>
      </c>
      <c r="AC6" s="136"/>
      <c r="AD6" s="134">
        <f t="shared" ref="AD6:AD13" si="13">IF(AC6=0,0,MAX(0,IF(AC$4&gt;18,IF($D6&lt;=AC$4,2,1),IF($C6&lt;=AC$4,1,0))-AC6+$B6+2))</f>
        <v>0</v>
      </c>
      <c r="AE6" s="136"/>
      <c r="AF6" s="134">
        <f t="shared" ref="AF6:AF13" si="14">IF(AE6=0,0,MAX(0,IF(AE$4&gt;18,IF($D6&lt;=AE$4,2,1),IF($C6&lt;=AE$4,1,0))-AE6+$B6+2))</f>
        <v>0</v>
      </c>
      <c r="AG6" s="136"/>
      <c r="AH6" s="134">
        <f t="shared" ref="AH6:AJ13" si="15">IF(AG6=0,0,MAX(0,IF(AG$4&gt;18,IF($D6&lt;=AG$4,2,1),IF($C6&lt;=AG$4,1,0))-AG6+$B6+2))</f>
        <v>0</v>
      </c>
      <c r="AI6" s="137"/>
      <c r="AJ6" s="135">
        <f t="shared" si="15"/>
        <v>0</v>
      </c>
      <c r="AL6" s="88">
        <v>2</v>
      </c>
      <c r="AM6" s="2">
        <v>4</v>
      </c>
      <c r="AN6" s="100">
        <v>10</v>
      </c>
      <c r="AO6" s="125">
        <f t="shared" ref="AO6:AO23" si="16">AN6+18</f>
        <v>28</v>
      </c>
      <c r="AP6" s="113"/>
      <c r="AQ6" s="134">
        <f t="shared" ref="AQ6:AQ13" si="17">IF(AP6=0,0,MAX(0,IF(AP$4&gt;18,IF($D6&lt;=AP$4,2,1),IF($C6&lt;=AP$4,1,0))-AP6+$B6+2))</f>
        <v>0</v>
      </c>
      <c r="AR6" s="136"/>
      <c r="AS6" s="134">
        <f t="shared" ref="AS6:AS13" si="18">IF(AR6=0,0,MAX(0,IF(AR$4&gt;18,IF($D6&lt;=AR$4,2,1),IF($C6&lt;=AR$4,1,0))-AR6+$B6+2))</f>
        <v>0</v>
      </c>
      <c r="AT6" s="136"/>
      <c r="AU6" s="134">
        <f t="shared" ref="AU6:AU13" si="19">IF(AT6=0,0,MAX(0,IF(AT$4&gt;18,IF($D6&lt;=AT$4,2,1),IF($C6&lt;=AT$4,1,0))-AT6+$B6+2))</f>
        <v>0</v>
      </c>
      <c r="AV6" s="136"/>
      <c r="AW6" s="134">
        <f t="shared" ref="AW6:AW13" si="20">IF(AV6=0,0,MAX(0,IF(AV$4&gt;18,IF($D6&lt;=AV$4,2,1),IF($C6&lt;=AV$4,1,0))-AV6+$B6+2))</f>
        <v>0</v>
      </c>
      <c r="AX6" s="136"/>
      <c r="AY6" s="134">
        <f t="shared" ref="AY6:AY13" si="21">IF(AX6=0,0,MAX(0,IF(AX$4&gt;18,IF($D6&lt;=AX$4,2,1),IF($C6&lt;=AX$4,1,0))-AX6+$B6+2))</f>
        <v>0</v>
      </c>
      <c r="AZ6" s="136"/>
      <c r="BA6" s="134">
        <f t="shared" ref="BA6:BA13" si="22">IF(AZ6=0,0,MAX(0,IF(AZ$4&gt;18,IF($D6&lt;=AZ$4,2,1),IF($C6&lt;=AZ$4,1,0))-AZ6+$B6+2))</f>
        <v>0</v>
      </c>
      <c r="BB6" s="136"/>
      <c r="BC6" s="134">
        <f t="shared" ref="BC6:BC13" si="23">IF(BB6=0,0,MAX(0,IF(BB$4&gt;18,IF($D6&lt;=BB$4,2,1),IF($C6&lt;=BB$4,1,0))-BB6+$B6+2))</f>
        <v>0</v>
      </c>
      <c r="BD6" s="136"/>
      <c r="BE6" s="134">
        <f t="shared" ref="BE6:BE13" si="24">IF(BD6=0,0,MAX(0,IF(BD$4&gt;18,IF($D6&lt;=BD$4,2,1),IF($C6&lt;=BD$4,1,0))-BD6+$B6+2))</f>
        <v>0</v>
      </c>
      <c r="BF6" s="137"/>
      <c r="BG6" s="134">
        <f t="shared" ref="BG6:BG13" si="25">IF(BF6=0,0,MAX(0,IF(BF$4&gt;18,IF($D6&lt;=BF$4,2,1),IF($C6&lt;=BF$4,1,0))-BF6+$B6+2))</f>
        <v>0</v>
      </c>
      <c r="BH6" s="136"/>
      <c r="BI6" s="134">
        <f t="shared" ref="BI6:BI13" si="26">IF(BH6=0,0,MAX(0,IF(BH$4&gt;18,IF($D6&lt;=BH$4,2,1),IF($C6&lt;=BH$4,1,0))-BH6+$B6+2))</f>
        <v>0</v>
      </c>
      <c r="BJ6" s="136"/>
      <c r="BK6" s="134">
        <f t="shared" ref="BK6:BK13" si="27">IF(BJ6=0,0,MAX(0,IF(BJ$4&gt;18,IF($D6&lt;=BJ$4,2,1),IF($C6&lt;=BJ$4,1,0))-BJ6+$B6+2))</f>
        <v>0</v>
      </c>
      <c r="BL6" s="136"/>
      <c r="BM6" s="134">
        <f t="shared" ref="BM6:BM13" si="28">IF(BL6=0,0,MAX(0,IF(BL$4&gt;18,IF($D6&lt;=BL$4,2,1),IF($C6&lt;=BL$4,1,0))-BL6+$B6+2))</f>
        <v>0</v>
      </c>
      <c r="BN6" s="136"/>
      <c r="BO6" s="134">
        <f t="shared" ref="BO6:BO13" si="29">IF(BN6=0,0,MAX(0,IF(BN$4&gt;18,IF($D6&lt;=BN$4,2,1),IF($C6&lt;=BN$4,1,0))-BN6+$B6+2))</f>
        <v>0</v>
      </c>
      <c r="BP6" s="136"/>
      <c r="BQ6" s="134">
        <f t="shared" ref="BQ6:BQ13" si="30">IF(BP6=0,0,MAX(0,IF(BP$4&gt;18,IF($D6&lt;=BP$4,2,1),IF($C6&lt;=BP$4,1,0))-BP6+$B6+2))</f>
        <v>0</v>
      </c>
      <c r="BR6" s="136"/>
      <c r="BS6" s="134">
        <f t="shared" ref="BS6:BS13" si="31">IF(BR6=0,0,MAX(0,IF(BR$4&gt;18,IF($D6&lt;=BR$4,2,1),IF($C6&lt;=BR$4,1,0))-BR6+$B6+2))</f>
        <v>0</v>
      </c>
      <c r="BT6" s="137"/>
      <c r="BU6" s="135">
        <f t="shared" ref="BU6:BU13" si="32">IF(BT6=0,0,MAX(0,IF(BT$4&gt;18,IF($D6&lt;=BT$4,2,1),IF($C6&lt;=BT$4,1,0))-BT6+$B6+2))</f>
        <v>0</v>
      </c>
      <c r="BW6" s="88">
        <v>2</v>
      </c>
      <c r="BX6" s="2">
        <v>4</v>
      </c>
      <c r="BY6" s="100">
        <v>10</v>
      </c>
      <c r="BZ6" s="125">
        <f t="shared" ref="BZ6:BZ23" si="33">BY6+18</f>
        <v>28</v>
      </c>
      <c r="CA6" s="113"/>
      <c r="CB6" s="134">
        <f t="shared" ref="CB6:CB13" si="34">IF(CA6=0,0,MAX(0,IF(CA$4&gt;18,IF($D6&lt;=CA$4,2,1),IF($C6&lt;=CA$4,1,0))-CA6+$B6+2))</f>
        <v>0</v>
      </c>
      <c r="CC6" s="136"/>
      <c r="CD6" s="134">
        <f t="shared" ref="CD6:CD13" si="35">IF(CC6=0,0,MAX(0,IF(CC$4&gt;18,IF($D6&lt;=CC$4,2,1),IF($C6&lt;=CC$4,1,0))-CC6+$B6+2))</f>
        <v>0</v>
      </c>
      <c r="CE6" s="136"/>
      <c r="CF6" s="134">
        <f t="shared" ref="CF6:CF13" si="36">IF(CE6=0,0,MAX(0,IF(CE$4&gt;18,IF($D6&lt;=CE$4,2,1),IF($C6&lt;=CE$4,1,0))-CE6+$B6+2))</f>
        <v>0</v>
      </c>
      <c r="CG6" s="136"/>
      <c r="CH6" s="134">
        <f t="shared" ref="CH6:CH13" si="37">IF(CG6=0,0,MAX(0,IF(CG$4&gt;18,IF($D6&lt;=CG$4,2,1),IF($C6&lt;=CG$4,1,0))-CG6+$B6+2))</f>
        <v>0</v>
      </c>
      <c r="CI6" s="136"/>
      <c r="CJ6" s="134">
        <f t="shared" ref="CJ6:CJ13" si="38">IF(CI6=0,0,MAX(0,IF(CI$4&gt;18,IF($D6&lt;=CI$4,2,1),IF($C6&lt;=CI$4,1,0))-CI6+$B6+2))</f>
        <v>0</v>
      </c>
      <c r="CK6" s="136"/>
      <c r="CL6" s="134">
        <f t="shared" ref="CL6:CL13" si="39">IF(CK6=0,0,MAX(0,IF(CK$4&gt;18,IF($D6&lt;=CK$4,2,1),IF($C6&lt;=CK$4,1,0))-CK6+$B6+2))</f>
        <v>0</v>
      </c>
      <c r="CM6" s="136"/>
      <c r="CN6" s="134">
        <f t="shared" ref="CN6:CN13" si="40">IF(CM6=0,0,MAX(0,IF(CM$4&gt;18,IF($D6&lt;=CM$4,2,1),IF($C6&lt;=CM$4,1,0))-CM6+$B6+2))</f>
        <v>0</v>
      </c>
      <c r="CO6" s="136"/>
      <c r="CP6" s="134">
        <f t="shared" ref="CP6:CP13" si="41">IF(CO6=0,0,MAX(0,IF(CO$4&gt;18,IF($D6&lt;=CO$4,2,1),IF($C6&lt;=CO$4,1,0))-CO6+$B6+2))</f>
        <v>0</v>
      </c>
      <c r="CQ6" s="137"/>
      <c r="CR6" s="134">
        <f t="shared" ref="CR6:CR13" si="42">IF(CQ6=0,0,MAX(0,IF(CQ$4&gt;18,IF($D6&lt;=CQ$4,2,1),IF($C6&lt;=CQ$4,1,0))-CQ6+$B6+2))</f>
        <v>0</v>
      </c>
      <c r="CS6" s="136"/>
      <c r="CT6" s="134">
        <f t="shared" ref="CT6:CT13" si="43">IF(CS6=0,0,MAX(0,IF(CS$4&gt;18,IF($D6&lt;=CS$4,2,1),IF($C6&lt;=CS$4,1,0))-CS6+$B6+2))</f>
        <v>0</v>
      </c>
      <c r="CU6" s="136"/>
      <c r="CV6" s="134">
        <f t="shared" ref="CV6:CV13" si="44">IF(CU6=0,0,MAX(0,IF(CU$4&gt;18,IF($D6&lt;=CU$4,2,1),IF($C6&lt;=CU$4,1,0))-CU6+$B6+2))</f>
        <v>0</v>
      </c>
      <c r="CW6" s="136"/>
      <c r="CX6" s="134">
        <f t="shared" ref="CX6:CX13" si="45">IF(CW6=0,0,MAX(0,IF(CW$4&gt;18,IF($D6&lt;=CW$4,2,1),IF($C6&lt;=CW$4,1,0))-CW6+$B6+2))</f>
        <v>0</v>
      </c>
      <c r="CY6" s="136"/>
      <c r="CZ6" s="134">
        <f t="shared" ref="CZ6:CZ13" si="46">IF(CY6=0,0,MAX(0,IF(CY$4&gt;18,IF($D6&lt;=CY$4,2,1),IF($C6&lt;=CY$4,1,0))-CY6+$B6+2))</f>
        <v>0</v>
      </c>
      <c r="DA6" s="136"/>
      <c r="DB6" s="134">
        <f t="shared" ref="DB6:DB13" si="47">IF(DA6=0,0,MAX(0,IF(DA$4&gt;18,IF($D6&lt;=DA$4,2,1),IF($C6&lt;=DA$4,1,0))-DA6+$B6+2))</f>
        <v>0</v>
      </c>
      <c r="DC6" s="136"/>
      <c r="DD6" s="134">
        <f t="shared" ref="DD6:DD13" si="48">IF(DC6=0,0,MAX(0,IF(DC$4&gt;18,IF($D6&lt;=DC$4,2,1),IF($C6&lt;=DC$4,1,0))-DC6+$B6+2))</f>
        <v>0</v>
      </c>
      <c r="DE6" s="137"/>
      <c r="DF6" s="135">
        <f t="shared" ref="DF6:DF13" si="49">IF(DE6=0,0,MAX(0,IF(DE$4&gt;18,IF($D6&lt;=DE$4,2,1),IF($C6&lt;=DE$4,1,0))-DE6+$B6+2))</f>
        <v>0</v>
      </c>
      <c r="DH6" s="88">
        <v>2</v>
      </c>
      <c r="DI6" s="2">
        <v>4</v>
      </c>
      <c r="DJ6" s="100">
        <v>10</v>
      </c>
      <c r="DK6" s="125">
        <f t="shared" ref="DK6:DK23" si="50">DJ6+18</f>
        <v>28</v>
      </c>
      <c r="DL6" s="113"/>
      <c r="DM6" s="134">
        <f t="shared" ref="DM6:DM13" si="51">IF(DL6=0,0,MAX(0,IF(DL$4&gt;18,IF($D6&lt;=DL$4,2,1),IF($C6&lt;=DL$4,1,0))-DL6+$B6+2))</f>
        <v>0</v>
      </c>
      <c r="DN6" s="136"/>
      <c r="DO6" s="134">
        <f t="shared" ref="DO6:DO13" si="52">IF(DN6=0,0,MAX(0,IF(DN$4&gt;18,IF($D6&lt;=DN$4,2,1),IF($C6&lt;=DN$4,1,0))-DN6+$B6+2))</f>
        <v>0</v>
      </c>
      <c r="DP6" s="136"/>
      <c r="DQ6" s="134">
        <f t="shared" ref="DQ6:DQ13" si="53">IF(DP6=0,0,MAX(0,IF(DP$4&gt;18,IF($D6&lt;=DP$4,2,1),IF($C6&lt;=DP$4,1,0))-DP6+$B6+2))</f>
        <v>0</v>
      </c>
      <c r="DR6" s="136"/>
      <c r="DS6" s="134">
        <f t="shared" ref="DS6:DS13" si="54">IF(DR6=0,0,MAX(0,IF(DR$4&gt;18,IF($D6&lt;=DR$4,2,1),IF($C6&lt;=DR$4,1,0))-DR6+$B6+2))</f>
        <v>0</v>
      </c>
      <c r="DT6" s="136"/>
      <c r="DU6" s="134">
        <f t="shared" ref="DU6:DU13" si="55">IF(DT6=0,0,MAX(0,IF(DT$4&gt;18,IF($D6&lt;=DT$4,2,1),IF($C6&lt;=DT$4,1,0))-DT6+$B6+2))</f>
        <v>0</v>
      </c>
      <c r="DV6" s="136"/>
      <c r="DW6" s="134">
        <f t="shared" ref="DW6:DW13" si="56">IF(DV6=0,0,MAX(0,IF(DV$4&gt;18,IF($D6&lt;=DV$4,2,1),IF($C6&lt;=DV$4,1,0))-DV6+$B6+2))</f>
        <v>0</v>
      </c>
      <c r="DX6" s="136"/>
      <c r="DY6" s="134">
        <f t="shared" ref="DY6:DY13" si="57">IF(DX6=0,0,MAX(0,IF(DX$4&gt;18,IF($D6&lt;=DX$4,2,1),IF($C6&lt;=DX$4,1,0))-DX6+$B6+2))</f>
        <v>0</v>
      </c>
      <c r="DZ6" s="136"/>
      <c r="EA6" s="134">
        <f t="shared" ref="EA6:EA13" si="58">IF(DZ6=0,0,MAX(0,IF(DZ$4&gt;18,IF($D6&lt;=DZ$4,2,1),IF($C6&lt;=DZ$4,1,0))-DZ6+$B6+2))</f>
        <v>0</v>
      </c>
      <c r="EB6" s="137"/>
      <c r="EC6" s="134">
        <f t="shared" ref="EC6:EC13" si="59">IF(EB6=0,0,MAX(0,IF(EB$4&gt;18,IF($D6&lt;=EB$4,2,1),IF($C6&lt;=EB$4,1,0))-EB6+$B6+2))</f>
        <v>0</v>
      </c>
      <c r="ED6" s="136"/>
      <c r="EE6" s="134">
        <f t="shared" ref="EE6:EE13" si="60">IF(ED6=0,0,MAX(0,IF(ED$4&gt;18,IF($D6&lt;=ED$4,2,1),IF($C6&lt;=ED$4,1,0))-ED6+$B6+2))</f>
        <v>0</v>
      </c>
      <c r="EF6" s="136"/>
      <c r="EG6" s="134">
        <f t="shared" ref="EG6:EG13" si="61">IF(EF6=0,0,MAX(0,IF(EF$4&gt;18,IF($D6&lt;=EF$4,2,1),IF($C6&lt;=EF$4,1,0))-EF6+$B6+2))</f>
        <v>0</v>
      </c>
      <c r="EH6" s="136"/>
      <c r="EI6" s="134">
        <f t="shared" ref="EI6:EI13" si="62">IF(EH6=0,0,MAX(0,IF(EH$4&gt;18,IF($D6&lt;=EH$4,2,1),IF($C6&lt;=EH$4,1,0))-EH6+$B6+2))</f>
        <v>0</v>
      </c>
      <c r="EJ6" s="136"/>
      <c r="EK6" s="134">
        <f t="shared" ref="EK6:EK13" si="63">IF(EJ6=0,0,MAX(0,IF(EJ$4&gt;18,IF($D6&lt;=EJ$4,2,1),IF($C6&lt;=EJ$4,1,0))-EJ6+$B6+2))</f>
        <v>0</v>
      </c>
      <c r="EL6" s="136"/>
      <c r="EM6" s="134">
        <f t="shared" ref="EM6:EM13" si="64">IF(EL6=0,0,MAX(0,IF(EL$4&gt;18,IF($D6&lt;=EL$4,2,1),IF($C6&lt;=EL$4,1,0))-EL6+$B6+2))</f>
        <v>0</v>
      </c>
      <c r="EN6" s="136"/>
      <c r="EO6" s="134">
        <f t="shared" ref="EO6:EO13" si="65">IF(EN6=0,0,MAX(0,IF(EN$4&gt;18,IF($D6&lt;=EN$4,2,1),IF($C6&lt;=EN$4,1,0))-EN6+$B6+2))</f>
        <v>0</v>
      </c>
      <c r="EP6" s="137"/>
      <c r="EQ6" s="135">
        <f t="shared" ref="EQ6:EQ13" si="66">IF(EP6=0,0,MAX(0,IF(EP$4&gt;18,IF($D6&lt;=EP$4,2,1),IF($C6&lt;=EP$4,1,0))-EP6+$B6+2))</f>
        <v>0</v>
      </c>
      <c r="ES6" s="88">
        <v>2</v>
      </c>
      <c r="ET6" s="2">
        <v>4</v>
      </c>
      <c r="EU6" s="100">
        <v>10</v>
      </c>
      <c r="EV6" s="125">
        <f t="shared" ref="EV6:EV23" si="67">EU6+18</f>
        <v>28</v>
      </c>
      <c r="EW6" s="113"/>
      <c r="EX6" s="134">
        <f t="shared" ref="EX6:EX13" si="68">IF(EW6=0,0,MAX(0,IF(EW$4&gt;18,IF($D6&lt;=EW$4,2,1),IF($C6&lt;=EW$4,1,0))-EW6+$B6+2))</f>
        <v>0</v>
      </c>
      <c r="EY6" s="136"/>
      <c r="EZ6" s="134">
        <f t="shared" ref="EZ6:EZ13" si="69">IF(EY6=0,0,MAX(0,IF(EY$4&gt;18,IF($D6&lt;=EY$4,2,1),IF($C6&lt;=EY$4,1,0))-EY6+$B6+2))</f>
        <v>0</v>
      </c>
      <c r="FA6" s="136"/>
      <c r="FB6" s="134">
        <f t="shared" ref="FB6:FB13" si="70">IF(FA6=0,0,MAX(0,IF(FA$4&gt;18,IF($D6&lt;=FA$4,2,1),IF($C6&lt;=FA$4,1,0))-FA6+$B6+2))</f>
        <v>0</v>
      </c>
      <c r="FC6" s="136"/>
      <c r="FD6" s="134">
        <f t="shared" ref="FD6:FD13" si="71">IF(FC6=0,0,MAX(0,IF(FC$4&gt;18,IF($D6&lt;=FC$4,2,1),IF($C6&lt;=FC$4,1,0))-FC6+$B6+2))</f>
        <v>0</v>
      </c>
      <c r="FE6" s="136"/>
      <c r="FF6" s="134">
        <f t="shared" ref="FF6:FF13" si="72">IF(FE6=0,0,MAX(0,IF(FE$4&gt;18,IF($D6&lt;=FE$4,2,1),IF($C6&lt;=FE$4,1,0))-FE6+$B6+2))</f>
        <v>0</v>
      </c>
      <c r="FG6" s="136"/>
      <c r="FH6" s="134">
        <f t="shared" ref="FH6:FH13" si="73">IF(FG6=0,0,MAX(0,IF(FG$4&gt;18,IF($D6&lt;=FG$4,2,1),IF($C6&lt;=FG$4,1,0))-FG6+$B6+2))</f>
        <v>0</v>
      </c>
      <c r="FI6" s="136"/>
      <c r="FJ6" s="134">
        <f t="shared" ref="FJ6:FJ13" si="74">IF(FI6=0,0,MAX(0,IF(FI$4&gt;18,IF($D6&lt;=FI$4,2,1),IF($C6&lt;=FI$4,1,0))-FI6+$B6+2))</f>
        <v>0</v>
      </c>
      <c r="FK6" s="136"/>
      <c r="FL6" s="134">
        <f t="shared" ref="FL6:FL13" si="75">IF(FK6=0,0,MAX(0,IF(FK$4&gt;18,IF($D6&lt;=FK$4,2,1),IF($C6&lt;=FK$4,1,0))-FK6+$B6+2))</f>
        <v>0</v>
      </c>
      <c r="FM6" s="137"/>
      <c r="FN6" s="134">
        <f t="shared" ref="FN6:FN13" si="76">IF(FM6=0,0,MAX(0,IF(FM$4&gt;18,IF($D6&lt;=FM$4,2,1),IF($C6&lt;=FM$4,1,0))-FM6+$B6+2))</f>
        <v>0</v>
      </c>
      <c r="FO6" s="136"/>
      <c r="FP6" s="134">
        <f t="shared" ref="FP6:FP13" si="77">IF(FO6=0,0,MAX(0,IF(FO$4&gt;18,IF($D6&lt;=FO$4,2,1),IF($C6&lt;=FO$4,1,0))-FO6+$B6+2))</f>
        <v>0</v>
      </c>
      <c r="FQ6" s="136"/>
      <c r="FR6" s="134">
        <f t="shared" ref="FR6:FR13" si="78">IF(FQ6=0,0,MAX(0,IF(FQ$4&gt;18,IF($D6&lt;=FQ$4,2,1),IF($C6&lt;=FQ$4,1,0))-FQ6+$B6+2))</f>
        <v>0</v>
      </c>
      <c r="FS6" s="136"/>
      <c r="FT6" s="134">
        <f t="shared" ref="FT6:FT13" si="79">IF(FS6=0,0,MAX(0,IF(FS$4&gt;18,IF($D6&lt;=FS$4,2,1),IF($C6&lt;=FS$4,1,0))-FS6+$B6+2))</f>
        <v>0</v>
      </c>
      <c r="FU6" s="136"/>
      <c r="FV6" s="134">
        <f t="shared" ref="FV6:FV13" si="80">IF(FU6=0,0,MAX(0,IF(FU$4&gt;18,IF($D6&lt;=FU$4,2,1),IF($C6&lt;=FU$4,1,0))-FU6+$B6+2))</f>
        <v>0</v>
      </c>
      <c r="FW6" s="136"/>
      <c r="FX6" s="134">
        <f t="shared" ref="FX6:FX13" si="81">IF(FW6=0,0,MAX(0,IF(FW$4&gt;18,IF($D6&lt;=FW$4,2,1),IF($C6&lt;=FW$4,1,0))-FW6+$B6+2))</f>
        <v>0</v>
      </c>
      <c r="FY6" s="136"/>
      <c r="FZ6" s="134">
        <f t="shared" ref="FZ6:FZ13" si="82">IF(FY6=0,0,MAX(0,IF(FY$4&gt;18,IF($D6&lt;=FY$4,2,1),IF($C6&lt;=FY$4,1,0))-FY6+$B6+2))</f>
        <v>0</v>
      </c>
      <c r="GA6" s="137"/>
      <c r="GB6" s="135">
        <f t="shared" ref="GB6:GB13" si="83">IF(GA6=0,0,MAX(0,IF(GA$4&gt;18,IF($D6&lt;=GA$4,2,1),IF($C6&lt;=GA$4,1,0))-GA6+$B6+2))</f>
        <v>0</v>
      </c>
    </row>
    <row r="7" spans="1:184">
      <c r="A7" s="88">
        <v>3</v>
      </c>
      <c r="B7" s="2">
        <v>4</v>
      </c>
      <c r="C7" s="100">
        <v>2</v>
      </c>
      <c r="D7" s="125">
        <f t="shared" si="0"/>
        <v>20</v>
      </c>
      <c r="E7" s="113"/>
      <c r="F7" s="134">
        <f t="shared" si="1"/>
        <v>0</v>
      </c>
      <c r="G7" s="136"/>
      <c r="H7" s="134">
        <f t="shared" si="2"/>
        <v>0</v>
      </c>
      <c r="I7" s="136"/>
      <c r="J7" s="134">
        <f t="shared" si="3"/>
        <v>0</v>
      </c>
      <c r="K7" s="136"/>
      <c r="L7" s="134">
        <f t="shared" si="4"/>
        <v>0</v>
      </c>
      <c r="M7" s="136"/>
      <c r="N7" s="134">
        <f t="shared" si="5"/>
        <v>0</v>
      </c>
      <c r="O7" s="136"/>
      <c r="P7" s="134">
        <f t="shared" si="6"/>
        <v>0</v>
      </c>
      <c r="Q7" s="136"/>
      <c r="R7" s="134">
        <f t="shared" si="7"/>
        <v>0</v>
      </c>
      <c r="S7" s="136"/>
      <c r="T7" s="134">
        <f t="shared" si="8"/>
        <v>0</v>
      </c>
      <c r="U7" s="137"/>
      <c r="V7" s="134">
        <f t="shared" si="9"/>
        <v>0</v>
      </c>
      <c r="W7" s="136"/>
      <c r="X7" s="134">
        <f t="shared" si="10"/>
        <v>0</v>
      </c>
      <c r="Y7" s="136"/>
      <c r="Z7" s="134">
        <f t="shared" si="11"/>
        <v>0</v>
      </c>
      <c r="AA7" s="136"/>
      <c r="AB7" s="134">
        <f t="shared" si="12"/>
        <v>0</v>
      </c>
      <c r="AC7" s="136"/>
      <c r="AD7" s="134">
        <f t="shared" si="13"/>
        <v>0</v>
      </c>
      <c r="AE7" s="136"/>
      <c r="AF7" s="134">
        <f t="shared" si="14"/>
        <v>0</v>
      </c>
      <c r="AG7" s="136"/>
      <c r="AH7" s="134">
        <f t="shared" si="15"/>
        <v>0</v>
      </c>
      <c r="AI7" s="137"/>
      <c r="AJ7" s="135">
        <f t="shared" si="15"/>
        <v>0</v>
      </c>
      <c r="AL7" s="88">
        <v>3</v>
      </c>
      <c r="AM7" s="2">
        <v>4</v>
      </c>
      <c r="AN7" s="100">
        <v>2</v>
      </c>
      <c r="AO7" s="125">
        <f t="shared" si="16"/>
        <v>20</v>
      </c>
      <c r="AP7" s="113"/>
      <c r="AQ7" s="134">
        <f t="shared" si="17"/>
        <v>0</v>
      </c>
      <c r="AR7" s="136"/>
      <c r="AS7" s="134">
        <f t="shared" si="18"/>
        <v>0</v>
      </c>
      <c r="AT7" s="136"/>
      <c r="AU7" s="134">
        <f t="shared" si="19"/>
        <v>0</v>
      </c>
      <c r="AV7" s="136"/>
      <c r="AW7" s="134">
        <f t="shared" si="20"/>
        <v>0</v>
      </c>
      <c r="AX7" s="136"/>
      <c r="AY7" s="134">
        <f t="shared" si="21"/>
        <v>0</v>
      </c>
      <c r="AZ7" s="136"/>
      <c r="BA7" s="134">
        <f t="shared" si="22"/>
        <v>0</v>
      </c>
      <c r="BB7" s="136"/>
      <c r="BC7" s="134">
        <f t="shared" si="23"/>
        <v>0</v>
      </c>
      <c r="BD7" s="136"/>
      <c r="BE7" s="134">
        <f t="shared" si="24"/>
        <v>0</v>
      </c>
      <c r="BF7" s="137"/>
      <c r="BG7" s="134">
        <f t="shared" si="25"/>
        <v>0</v>
      </c>
      <c r="BH7" s="136"/>
      <c r="BI7" s="134">
        <f t="shared" si="26"/>
        <v>0</v>
      </c>
      <c r="BJ7" s="136"/>
      <c r="BK7" s="134">
        <f t="shared" si="27"/>
        <v>0</v>
      </c>
      <c r="BL7" s="136"/>
      <c r="BM7" s="134">
        <f t="shared" si="28"/>
        <v>0</v>
      </c>
      <c r="BN7" s="136"/>
      <c r="BO7" s="134">
        <f t="shared" si="29"/>
        <v>0</v>
      </c>
      <c r="BP7" s="136"/>
      <c r="BQ7" s="134">
        <f t="shared" si="30"/>
        <v>0</v>
      </c>
      <c r="BR7" s="136"/>
      <c r="BS7" s="134">
        <f t="shared" si="31"/>
        <v>0</v>
      </c>
      <c r="BT7" s="137"/>
      <c r="BU7" s="135">
        <f t="shared" si="32"/>
        <v>0</v>
      </c>
      <c r="BW7" s="88">
        <v>3</v>
      </c>
      <c r="BX7" s="2">
        <v>4</v>
      </c>
      <c r="BY7" s="100">
        <v>2</v>
      </c>
      <c r="BZ7" s="125">
        <f t="shared" si="33"/>
        <v>20</v>
      </c>
      <c r="CA7" s="113"/>
      <c r="CB7" s="134">
        <f t="shared" si="34"/>
        <v>0</v>
      </c>
      <c r="CC7" s="136"/>
      <c r="CD7" s="134">
        <f t="shared" si="35"/>
        <v>0</v>
      </c>
      <c r="CE7" s="136"/>
      <c r="CF7" s="134">
        <f t="shared" si="36"/>
        <v>0</v>
      </c>
      <c r="CG7" s="136"/>
      <c r="CH7" s="134">
        <f t="shared" si="37"/>
        <v>0</v>
      </c>
      <c r="CI7" s="136"/>
      <c r="CJ7" s="134">
        <f t="shared" si="38"/>
        <v>0</v>
      </c>
      <c r="CK7" s="136"/>
      <c r="CL7" s="134">
        <f t="shared" si="39"/>
        <v>0</v>
      </c>
      <c r="CM7" s="136"/>
      <c r="CN7" s="134">
        <f t="shared" si="40"/>
        <v>0</v>
      </c>
      <c r="CO7" s="136"/>
      <c r="CP7" s="134">
        <f t="shared" si="41"/>
        <v>0</v>
      </c>
      <c r="CQ7" s="137"/>
      <c r="CR7" s="134">
        <f t="shared" si="42"/>
        <v>0</v>
      </c>
      <c r="CS7" s="136"/>
      <c r="CT7" s="134">
        <f t="shared" si="43"/>
        <v>0</v>
      </c>
      <c r="CU7" s="136"/>
      <c r="CV7" s="134">
        <f t="shared" si="44"/>
        <v>0</v>
      </c>
      <c r="CW7" s="136"/>
      <c r="CX7" s="134">
        <f t="shared" si="45"/>
        <v>0</v>
      </c>
      <c r="CY7" s="136"/>
      <c r="CZ7" s="134">
        <f t="shared" si="46"/>
        <v>0</v>
      </c>
      <c r="DA7" s="136"/>
      <c r="DB7" s="134">
        <f t="shared" si="47"/>
        <v>0</v>
      </c>
      <c r="DC7" s="136"/>
      <c r="DD7" s="134">
        <f t="shared" si="48"/>
        <v>0</v>
      </c>
      <c r="DE7" s="137"/>
      <c r="DF7" s="135">
        <f t="shared" si="49"/>
        <v>0</v>
      </c>
      <c r="DH7" s="88">
        <v>3</v>
      </c>
      <c r="DI7" s="2">
        <v>4</v>
      </c>
      <c r="DJ7" s="100">
        <v>2</v>
      </c>
      <c r="DK7" s="125">
        <f t="shared" si="50"/>
        <v>20</v>
      </c>
      <c r="DL7" s="113"/>
      <c r="DM7" s="134">
        <f t="shared" si="51"/>
        <v>0</v>
      </c>
      <c r="DN7" s="136"/>
      <c r="DO7" s="134">
        <f t="shared" si="52"/>
        <v>0</v>
      </c>
      <c r="DP7" s="136"/>
      <c r="DQ7" s="134">
        <f t="shared" si="53"/>
        <v>0</v>
      </c>
      <c r="DR7" s="136"/>
      <c r="DS7" s="134">
        <f t="shared" si="54"/>
        <v>0</v>
      </c>
      <c r="DT7" s="136"/>
      <c r="DU7" s="134">
        <f t="shared" si="55"/>
        <v>0</v>
      </c>
      <c r="DV7" s="136"/>
      <c r="DW7" s="134">
        <f t="shared" si="56"/>
        <v>0</v>
      </c>
      <c r="DX7" s="136"/>
      <c r="DY7" s="134">
        <f t="shared" si="57"/>
        <v>0</v>
      </c>
      <c r="DZ7" s="136"/>
      <c r="EA7" s="134">
        <f t="shared" si="58"/>
        <v>0</v>
      </c>
      <c r="EB7" s="137"/>
      <c r="EC7" s="134">
        <f t="shared" si="59"/>
        <v>0</v>
      </c>
      <c r="ED7" s="136"/>
      <c r="EE7" s="134">
        <f t="shared" si="60"/>
        <v>0</v>
      </c>
      <c r="EF7" s="136"/>
      <c r="EG7" s="134">
        <f t="shared" si="61"/>
        <v>0</v>
      </c>
      <c r="EH7" s="136"/>
      <c r="EI7" s="134">
        <f t="shared" si="62"/>
        <v>0</v>
      </c>
      <c r="EJ7" s="136"/>
      <c r="EK7" s="134">
        <f t="shared" si="63"/>
        <v>0</v>
      </c>
      <c r="EL7" s="136"/>
      <c r="EM7" s="134">
        <f t="shared" si="64"/>
        <v>0</v>
      </c>
      <c r="EN7" s="136"/>
      <c r="EO7" s="134">
        <f t="shared" si="65"/>
        <v>0</v>
      </c>
      <c r="EP7" s="137"/>
      <c r="EQ7" s="135">
        <f t="shared" si="66"/>
        <v>0</v>
      </c>
      <c r="ES7" s="88">
        <v>3</v>
      </c>
      <c r="ET7" s="2">
        <v>4</v>
      </c>
      <c r="EU7" s="100">
        <v>2</v>
      </c>
      <c r="EV7" s="125">
        <f t="shared" si="67"/>
        <v>20</v>
      </c>
      <c r="EW7" s="113"/>
      <c r="EX7" s="134">
        <f t="shared" si="68"/>
        <v>0</v>
      </c>
      <c r="EY7" s="136"/>
      <c r="EZ7" s="134">
        <f t="shared" si="69"/>
        <v>0</v>
      </c>
      <c r="FA7" s="136"/>
      <c r="FB7" s="134">
        <f t="shared" si="70"/>
        <v>0</v>
      </c>
      <c r="FC7" s="136"/>
      <c r="FD7" s="134">
        <f t="shared" si="71"/>
        <v>0</v>
      </c>
      <c r="FE7" s="136"/>
      <c r="FF7" s="134">
        <f t="shared" si="72"/>
        <v>0</v>
      </c>
      <c r="FG7" s="136"/>
      <c r="FH7" s="134">
        <f t="shared" si="73"/>
        <v>0</v>
      </c>
      <c r="FI7" s="136"/>
      <c r="FJ7" s="134">
        <f t="shared" si="74"/>
        <v>0</v>
      </c>
      <c r="FK7" s="136"/>
      <c r="FL7" s="134">
        <f t="shared" si="75"/>
        <v>0</v>
      </c>
      <c r="FM7" s="137"/>
      <c r="FN7" s="134">
        <f t="shared" si="76"/>
        <v>0</v>
      </c>
      <c r="FO7" s="136"/>
      <c r="FP7" s="134">
        <f t="shared" si="77"/>
        <v>0</v>
      </c>
      <c r="FQ7" s="136"/>
      <c r="FR7" s="134">
        <f t="shared" si="78"/>
        <v>0</v>
      </c>
      <c r="FS7" s="136"/>
      <c r="FT7" s="134">
        <f t="shared" si="79"/>
        <v>0</v>
      </c>
      <c r="FU7" s="136"/>
      <c r="FV7" s="134">
        <f t="shared" si="80"/>
        <v>0</v>
      </c>
      <c r="FW7" s="136"/>
      <c r="FX7" s="134">
        <f t="shared" si="81"/>
        <v>0</v>
      </c>
      <c r="FY7" s="136"/>
      <c r="FZ7" s="134">
        <f t="shared" si="82"/>
        <v>0</v>
      </c>
      <c r="GA7" s="137"/>
      <c r="GB7" s="135">
        <f t="shared" si="83"/>
        <v>0</v>
      </c>
    </row>
    <row r="8" spans="1:184">
      <c r="A8" s="88">
        <v>4</v>
      </c>
      <c r="B8" s="2">
        <v>4</v>
      </c>
      <c r="C8" s="100">
        <v>4</v>
      </c>
      <c r="D8" s="125">
        <f t="shared" si="0"/>
        <v>22</v>
      </c>
      <c r="E8" s="113"/>
      <c r="F8" s="134">
        <f t="shared" si="1"/>
        <v>0</v>
      </c>
      <c r="G8" s="136"/>
      <c r="H8" s="134">
        <f t="shared" si="2"/>
        <v>0</v>
      </c>
      <c r="I8" s="136"/>
      <c r="J8" s="134">
        <f t="shared" si="3"/>
        <v>0</v>
      </c>
      <c r="K8" s="136"/>
      <c r="L8" s="134">
        <f t="shared" si="4"/>
        <v>0</v>
      </c>
      <c r="M8" s="136"/>
      <c r="N8" s="134">
        <f t="shared" si="5"/>
        <v>0</v>
      </c>
      <c r="O8" s="136"/>
      <c r="P8" s="134">
        <f t="shared" si="6"/>
        <v>0</v>
      </c>
      <c r="Q8" s="136"/>
      <c r="R8" s="134">
        <f t="shared" si="7"/>
        <v>0</v>
      </c>
      <c r="S8" s="136"/>
      <c r="T8" s="134">
        <f t="shared" si="8"/>
        <v>0</v>
      </c>
      <c r="U8" s="137"/>
      <c r="V8" s="134">
        <f t="shared" si="9"/>
        <v>0</v>
      </c>
      <c r="W8" s="136"/>
      <c r="X8" s="134">
        <f t="shared" si="10"/>
        <v>0</v>
      </c>
      <c r="Y8" s="136"/>
      <c r="Z8" s="134">
        <f t="shared" si="11"/>
        <v>0</v>
      </c>
      <c r="AA8" s="136"/>
      <c r="AB8" s="134">
        <f t="shared" si="12"/>
        <v>0</v>
      </c>
      <c r="AC8" s="136"/>
      <c r="AD8" s="134">
        <f t="shared" si="13"/>
        <v>0</v>
      </c>
      <c r="AE8" s="136"/>
      <c r="AF8" s="134">
        <f t="shared" si="14"/>
        <v>0</v>
      </c>
      <c r="AG8" s="136"/>
      <c r="AH8" s="134">
        <f t="shared" si="15"/>
        <v>0</v>
      </c>
      <c r="AI8" s="137"/>
      <c r="AJ8" s="135">
        <f t="shared" si="15"/>
        <v>0</v>
      </c>
      <c r="AL8" s="88">
        <v>4</v>
      </c>
      <c r="AM8" s="2">
        <v>4</v>
      </c>
      <c r="AN8" s="100">
        <v>4</v>
      </c>
      <c r="AO8" s="125">
        <f t="shared" si="16"/>
        <v>22</v>
      </c>
      <c r="AP8" s="113"/>
      <c r="AQ8" s="134">
        <f t="shared" si="17"/>
        <v>0</v>
      </c>
      <c r="AR8" s="136"/>
      <c r="AS8" s="134">
        <f t="shared" si="18"/>
        <v>0</v>
      </c>
      <c r="AT8" s="136"/>
      <c r="AU8" s="134">
        <f t="shared" si="19"/>
        <v>0</v>
      </c>
      <c r="AV8" s="136"/>
      <c r="AW8" s="134">
        <f t="shared" si="20"/>
        <v>0</v>
      </c>
      <c r="AX8" s="136"/>
      <c r="AY8" s="134">
        <f t="shared" si="21"/>
        <v>0</v>
      </c>
      <c r="AZ8" s="136"/>
      <c r="BA8" s="134">
        <f t="shared" si="22"/>
        <v>0</v>
      </c>
      <c r="BB8" s="136"/>
      <c r="BC8" s="134">
        <f t="shared" si="23"/>
        <v>0</v>
      </c>
      <c r="BD8" s="136"/>
      <c r="BE8" s="134">
        <f t="shared" si="24"/>
        <v>0</v>
      </c>
      <c r="BF8" s="137"/>
      <c r="BG8" s="134">
        <f t="shared" si="25"/>
        <v>0</v>
      </c>
      <c r="BH8" s="136"/>
      <c r="BI8" s="134">
        <f t="shared" si="26"/>
        <v>0</v>
      </c>
      <c r="BJ8" s="136"/>
      <c r="BK8" s="134">
        <f t="shared" si="27"/>
        <v>0</v>
      </c>
      <c r="BL8" s="136"/>
      <c r="BM8" s="134">
        <f t="shared" si="28"/>
        <v>0</v>
      </c>
      <c r="BN8" s="136"/>
      <c r="BO8" s="134">
        <f t="shared" si="29"/>
        <v>0</v>
      </c>
      <c r="BP8" s="136"/>
      <c r="BQ8" s="134">
        <f t="shared" si="30"/>
        <v>0</v>
      </c>
      <c r="BR8" s="136"/>
      <c r="BS8" s="134">
        <f t="shared" si="31"/>
        <v>0</v>
      </c>
      <c r="BT8" s="137"/>
      <c r="BU8" s="135">
        <f t="shared" si="32"/>
        <v>0</v>
      </c>
      <c r="BW8" s="88">
        <v>4</v>
      </c>
      <c r="BX8" s="2">
        <v>4</v>
      </c>
      <c r="BY8" s="100">
        <v>4</v>
      </c>
      <c r="BZ8" s="125">
        <f t="shared" si="33"/>
        <v>22</v>
      </c>
      <c r="CA8" s="113"/>
      <c r="CB8" s="134">
        <f t="shared" si="34"/>
        <v>0</v>
      </c>
      <c r="CC8" s="136"/>
      <c r="CD8" s="134">
        <f t="shared" si="35"/>
        <v>0</v>
      </c>
      <c r="CE8" s="136"/>
      <c r="CF8" s="134">
        <f t="shared" si="36"/>
        <v>0</v>
      </c>
      <c r="CG8" s="136"/>
      <c r="CH8" s="134">
        <f t="shared" si="37"/>
        <v>0</v>
      </c>
      <c r="CI8" s="136"/>
      <c r="CJ8" s="134">
        <f t="shared" si="38"/>
        <v>0</v>
      </c>
      <c r="CK8" s="136"/>
      <c r="CL8" s="134">
        <f t="shared" si="39"/>
        <v>0</v>
      </c>
      <c r="CM8" s="136"/>
      <c r="CN8" s="134">
        <f t="shared" si="40"/>
        <v>0</v>
      </c>
      <c r="CO8" s="136"/>
      <c r="CP8" s="134">
        <f t="shared" si="41"/>
        <v>0</v>
      </c>
      <c r="CQ8" s="137"/>
      <c r="CR8" s="134">
        <f t="shared" si="42"/>
        <v>0</v>
      </c>
      <c r="CS8" s="136"/>
      <c r="CT8" s="134">
        <f t="shared" si="43"/>
        <v>0</v>
      </c>
      <c r="CU8" s="136"/>
      <c r="CV8" s="134">
        <f t="shared" si="44"/>
        <v>0</v>
      </c>
      <c r="CW8" s="136"/>
      <c r="CX8" s="134">
        <f t="shared" si="45"/>
        <v>0</v>
      </c>
      <c r="CY8" s="136"/>
      <c r="CZ8" s="134">
        <f t="shared" si="46"/>
        <v>0</v>
      </c>
      <c r="DA8" s="136"/>
      <c r="DB8" s="134">
        <f t="shared" si="47"/>
        <v>0</v>
      </c>
      <c r="DC8" s="136"/>
      <c r="DD8" s="134">
        <f t="shared" si="48"/>
        <v>0</v>
      </c>
      <c r="DE8" s="137"/>
      <c r="DF8" s="135">
        <f t="shared" si="49"/>
        <v>0</v>
      </c>
      <c r="DH8" s="88">
        <v>4</v>
      </c>
      <c r="DI8" s="2">
        <v>4</v>
      </c>
      <c r="DJ8" s="100">
        <v>4</v>
      </c>
      <c r="DK8" s="125">
        <f t="shared" si="50"/>
        <v>22</v>
      </c>
      <c r="DL8" s="113"/>
      <c r="DM8" s="134">
        <f t="shared" si="51"/>
        <v>0</v>
      </c>
      <c r="DN8" s="136"/>
      <c r="DO8" s="134">
        <f t="shared" si="52"/>
        <v>0</v>
      </c>
      <c r="DP8" s="136"/>
      <c r="DQ8" s="134">
        <f t="shared" si="53"/>
        <v>0</v>
      </c>
      <c r="DR8" s="136"/>
      <c r="DS8" s="134">
        <f t="shared" si="54"/>
        <v>0</v>
      </c>
      <c r="DT8" s="136"/>
      <c r="DU8" s="134">
        <f t="shared" si="55"/>
        <v>0</v>
      </c>
      <c r="DV8" s="136"/>
      <c r="DW8" s="134">
        <f t="shared" si="56"/>
        <v>0</v>
      </c>
      <c r="DX8" s="136"/>
      <c r="DY8" s="134">
        <f t="shared" si="57"/>
        <v>0</v>
      </c>
      <c r="DZ8" s="136"/>
      <c r="EA8" s="134">
        <f t="shared" si="58"/>
        <v>0</v>
      </c>
      <c r="EB8" s="137"/>
      <c r="EC8" s="134">
        <f t="shared" si="59"/>
        <v>0</v>
      </c>
      <c r="ED8" s="136"/>
      <c r="EE8" s="134">
        <f t="shared" si="60"/>
        <v>0</v>
      </c>
      <c r="EF8" s="136"/>
      <c r="EG8" s="134">
        <f t="shared" si="61"/>
        <v>0</v>
      </c>
      <c r="EH8" s="136"/>
      <c r="EI8" s="134">
        <f t="shared" si="62"/>
        <v>0</v>
      </c>
      <c r="EJ8" s="136"/>
      <c r="EK8" s="134">
        <f t="shared" si="63"/>
        <v>0</v>
      </c>
      <c r="EL8" s="136"/>
      <c r="EM8" s="134">
        <f t="shared" si="64"/>
        <v>0</v>
      </c>
      <c r="EN8" s="136"/>
      <c r="EO8" s="134">
        <f t="shared" si="65"/>
        <v>0</v>
      </c>
      <c r="EP8" s="137"/>
      <c r="EQ8" s="135">
        <f t="shared" si="66"/>
        <v>0</v>
      </c>
      <c r="ES8" s="88">
        <v>4</v>
      </c>
      <c r="ET8" s="2">
        <v>4</v>
      </c>
      <c r="EU8" s="100">
        <v>4</v>
      </c>
      <c r="EV8" s="125">
        <f t="shared" si="67"/>
        <v>22</v>
      </c>
      <c r="EW8" s="113"/>
      <c r="EX8" s="134">
        <f t="shared" si="68"/>
        <v>0</v>
      </c>
      <c r="EY8" s="136"/>
      <c r="EZ8" s="134">
        <f t="shared" si="69"/>
        <v>0</v>
      </c>
      <c r="FA8" s="136"/>
      <c r="FB8" s="134">
        <f t="shared" si="70"/>
        <v>0</v>
      </c>
      <c r="FC8" s="136"/>
      <c r="FD8" s="134">
        <f t="shared" si="71"/>
        <v>0</v>
      </c>
      <c r="FE8" s="136"/>
      <c r="FF8" s="134">
        <f t="shared" si="72"/>
        <v>0</v>
      </c>
      <c r="FG8" s="136"/>
      <c r="FH8" s="134">
        <f t="shared" si="73"/>
        <v>0</v>
      </c>
      <c r="FI8" s="136"/>
      <c r="FJ8" s="134">
        <f t="shared" si="74"/>
        <v>0</v>
      </c>
      <c r="FK8" s="136"/>
      <c r="FL8" s="134">
        <f t="shared" si="75"/>
        <v>0</v>
      </c>
      <c r="FM8" s="137"/>
      <c r="FN8" s="134">
        <f t="shared" si="76"/>
        <v>0</v>
      </c>
      <c r="FO8" s="136"/>
      <c r="FP8" s="134">
        <f t="shared" si="77"/>
        <v>0</v>
      </c>
      <c r="FQ8" s="136"/>
      <c r="FR8" s="134">
        <f t="shared" si="78"/>
        <v>0</v>
      </c>
      <c r="FS8" s="136"/>
      <c r="FT8" s="134">
        <f t="shared" si="79"/>
        <v>0</v>
      </c>
      <c r="FU8" s="136"/>
      <c r="FV8" s="134">
        <f t="shared" si="80"/>
        <v>0</v>
      </c>
      <c r="FW8" s="136"/>
      <c r="FX8" s="134">
        <f t="shared" si="81"/>
        <v>0</v>
      </c>
      <c r="FY8" s="136"/>
      <c r="FZ8" s="134">
        <f t="shared" si="82"/>
        <v>0</v>
      </c>
      <c r="GA8" s="137"/>
      <c r="GB8" s="135">
        <f t="shared" si="83"/>
        <v>0</v>
      </c>
    </row>
    <row r="9" spans="1:184">
      <c r="A9" s="88">
        <v>5</v>
      </c>
      <c r="B9" s="2">
        <v>4</v>
      </c>
      <c r="C9" s="100">
        <v>6</v>
      </c>
      <c r="D9" s="125">
        <f t="shared" si="0"/>
        <v>24</v>
      </c>
      <c r="E9" s="113"/>
      <c r="F9" s="134">
        <f t="shared" si="1"/>
        <v>0</v>
      </c>
      <c r="G9" s="136"/>
      <c r="H9" s="134">
        <f t="shared" si="2"/>
        <v>0</v>
      </c>
      <c r="I9" s="136"/>
      <c r="J9" s="134">
        <f t="shared" si="3"/>
        <v>0</v>
      </c>
      <c r="K9" s="136"/>
      <c r="L9" s="134">
        <f t="shared" si="4"/>
        <v>0</v>
      </c>
      <c r="M9" s="136"/>
      <c r="N9" s="134">
        <f t="shared" si="5"/>
        <v>0</v>
      </c>
      <c r="O9" s="136"/>
      <c r="P9" s="134">
        <f t="shared" si="6"/>
        <v>0</v>
      </c>
      <c r="Q9" s="136"/>
      <c r="R9" s="134">
        <f t="shared" si="7"/>
        <v>0</v>
      </c>
      <c r="S9" s="136"/>
      <c r="T9" s="134">
        <f t="shared" si="8"/>
        <v>0</v>
      </c>
      <c r="U9" s="137"/>
      <c r="V9" s="134">
        <f t="shared" si="9"/>
        <v>0</v>
      </c>
      <c r="W9" s="136"/>
      <c r="X9" s="134">
        <f t="shared" si="10"/>
        <v>0</v>
      </c>
      <c r="Y9" s="136"/>
      <c r="Z9" s="134">
        <f t="shared" si="11"/>
        <v>0</v>
      </c>
      <c r="AA9" s="136"/>
      <c r="AB9" s="134">
        <f t="shared" si="12"/>
        <v>0</v>
      </c>
      <c r="AC9" s="136"/>
      <c r="AD9" s="134">
        <f t="shared" si="13"/>
        <v>0</v>
      </c>
      <c r="AE9" s="136"/>
      <c r="AF9" s="134">
        <f t="shared" si="14"/>
        <v>0</v>
      </c>
      <c r="AG9" s="136"/>
      <c r="AH9" s="134">
        <f t="shared" si="15"/>
        <v>0</v>
      </c>
      <c r="AI9" s="137"/>
      <c r="AJ9" s="135">
        <f t="shared" si="15"/>
        <v>0</v>
      </c>
      <c r="AL9" s="88">
        <v>5</v>
      </c>
      <c r="AM9" s="2">
        <v>4</v>
      </c>
      <c r="AN9" s="100">
        <v>6</v>
      </c>
      <c r="AO9" s="125">
        <f t="shared" si="16"/>
        <v>24</v>
      </c>
      <c r="AP9" s="113"/>
      <c r="AQ9" s="134">
        <f t="shared" si="17"/>
        <v>0</v>
      </c>
      <c r="AR9" s="136"/>
      <c r="AS9" s="134">
        <f t="shared" si="18"/>
        <v>0</v>
      </c>
      <c r="AT9" s="136"/>
      <c r="AU9" s="134">
        <f t="shared" si="19"/>
        <v>0</v>
      </c>
      <c r="AV9" s="136"/>
      <c r="AW9" s="134">
        <f t="shared" si="20"/>
        <v>0</v>
      </c>
      <c r="AX9" s="136"/>
      <c r="AY9" s="134">
        <f t="shared" si="21"/>
        <v>0</v>
      </c>
      <c r="AZ9" s="136"/>
      <c r="BA9" s="134">
        <f t="shared" si="22"/>
        <v>0</v>
      </c>
      <c r="BB9" s="136"/>
      <c r="BC9" s="134">
        <f t="shared" si="23"/>
        <v>0</v>
      </c>
      <c r="BD9" s="136"/>
      <c r="BE9" s="134">
        <f t="shared" si="24"/>
        <v>0</v>
      </c>
      <c r="BF9" s="137"/>
      <c r="BG9" s="134">
        <f t="shared" si="25"/>
        <v>0</v>
      </c>
      <c r="BH9" s="136"/>
      <c r="BI9" s="134">
        <f t="shared" si="26"/>
        <v>0</v>
      </c>
      <c r="BJ9" s="136"/>
      <c r="BK9" s="134">
        <f t="shared" si="27"/>
        <v>0</v>
      </c>
      <c r="BL9" s="136"/>
      <c r="BM9" s="134">
        <f t="shared" si="28"/>
        <v>0</v>
      </c>
      <c r="BN9" s="136"/>
      <c r="BO9" s="134">
        <f t="shared" si="29"/>
        <v>0</v>
      </c>
      <c r="BP9" s="136"/>
      <c r="BQ9" s="134">
        <f t="shared" si="30"/>
        <v>0</v>
      </c>
      <c r="BR9" s="136"/>
      <c r="BS9" s="134">
        <f t="shared" si="31"/>
        <v>0</v>
      </c>
      <c r="BT9" s="137"/>
      <c r="BU9" s="135">
        <f t="shared" si="32"/>
        <v>0</v>
      </c>
      <c r="BW9" s="88">
        <v>5</v>
      </c>
      <c r="BX9" s="2">
        <v>4</v>
      </c>
      <c r="BY9" s="100">
        <v>6</v>
      </c>
      <c r="BZ9" s="125">
        <f t="shared" si="33"/>
        <v>24</v>
      </c>
      <c r="CA9" s="113"/>
      <c r="CB9" s="134">
        <f t="shared" si="34"/>
        <v>0</v>
      </c>
      <c r="CC9" s="136"/>
      <c r="CD9" s="134">
        <f t="shared" si="35"/>
        <v>0</v>
      </c>
      <c r="CE9" s="136"/>
      <c r="CF9" s="134">
        <f t="shared" si="36"/>
        <v>0</v>
      </c>
      <c r="CG9" s="136"/>
      <c r="CH9" s="134">
        <f t="shared" si="37"/>
        <v>0</v>
      </c>
      <c r="CI9" s="136"/>
      <c r="CJ9" s="134">
        <f t="shared" si="38"/>
        <v>0</v>
      </c>
      <c r="CK9" s="136"/>
      <c r="CL9" s="134">
        <f t="shared" si="39"/>
        <v>0</v>
      </c>
      <c r="CM9" s="136"/>
      <c r="CN9" s="134">
        <f t="shared" si="40"/>
        <v>0</v>
      </c>
      <c r="CO9" s="136"/>
      <c r="CP9" s="134">
        <f t="shared" si="41"/>
        <v>0</v>
      </c>
      <c r="CQ9" s="137"/>
      <c r="CR9" s="134">
        <f t="shared" si="42"/>
        <v>0</v>
      </c>
      <c r="CS9" s="136"/>
      <c r="CT9" s="134">
        <f t="shared" si="43"/>
        <v>0</v>
      </c>
      <c r="CU9" s="136"/>
      <c r="CV9" s="134">
        <f t="shared" si="44"/>
        <v>0</v>
      </c>
      <c r="CW9" s="136"/>
      <c r="CX9" s="134">
        <f t="shared" si="45"/>
        <v>0</v>
      </c>
      <c r="CY9" s="136"/>
      <c r="CZ9" s="134">
        <f t="shared" si="46"/>
        <v>0</v>
      </c>
      <c r="DA9" s="136"/>
      <c r="DB9" s="134">
        <f t="shared" si="47"/>
        <v>0</v>
      </c>
      <c r="DC9" s="136"/>
      <c r="DD9" s="134">
        <f t="shared" si="48"/>
        <v>0</v>
      </c>
      <c r="DE9" s="137"/>
      <c r="DF9" s="135">
        <f t="shared" si="49"/>
        <v>0</v>
      </c>
      <c r="DH9" s="88">
        <v>5</v>
      </c>
      <c r="DI9" s="2">
        <v>4</v>
      </c>
      <c r="DJ9" s="100">
        <v>6</v>
      </c>
      <c r="DK9" s="125">
        <f t="shared" si="50"/>
        <v>24</v>
      </c>
      <c r="DL9" s="113"/>
      <c r="DM9" s="134">
        <f t="shared" si="51"/>
        <v>0</v>
      </c>
      <c r="DN9" s="136"/>
      <c r="DO9" s="134">
        <f t="shared" si="52"/>
        <v>0</v>
      </c>
      <c r="DP9" s="136"/>
      <c r="DQ9" s="134">
        <f t="shared" si="53"/>
        <v>0</v>
      </c>
      <c r="DR9" s="136"/>
      <c r="DS9" s="134">
        <f t="shared" si="54"/>
        <v>0</v>
      </c>
      <c r="DT9" s="136"/>
      <c r="DU9" s="134">
        <f t="shared" si="55"/>
        <v>0</v>
      </c>
      <c r="DV9" s="136"/>
      <c r="DW9" s="134">
        <f t="shared" si="56"/>
        <v>0</v>
      </c>
      <c r="DX9" s="136"/>
      <c r="DY9" s="134">
        <f t="shared" si="57"/>
        <v>0</v>
      </c>
      <c r="DZ9" s="136"/>
      <c r="EA9" s="134">
        <f t="shared" si="58"/>
        <v>0</v>
      </c>
      <c r="EB9" s="137"/>
      <c r="EC9" s="134">
        <f t="shared" si="59"/>
        <v>0</v>
      </c>
      <c r="ED9" s="136"/>
      <c r="EE9" s="134">
        <f t="shared" si="60"/>
        <v>0</v>
      </c>
      <c r="EF9" s="136"/>
      <c r="EG9" s="134">
        <f t="shared" si="61"/>
        <v>0</v>
      </c>
      <c r="EH9" s="136"/>
      <c r="EI9" s="134">
        <f t="shared" si="62"/>
        <v>0</v>
      </c>
      <c r="EJ9" s="136"/>
      <c r="EK9" s="134">
        <f t="shared" si="63"/>
        <v>0</v>
      </c>
      <c r="EL9" s="136"/>
      <c r="EM9" s="134">
        <f t="shared" si="64"/>
        <v>0</v>
      </c>
      <c r="EN9" s="136"/>
      <c r="EO9" s="134">
        <f t="shared" si="65"/>
        <v>0</v>
      </c>
      <c r="EP9" s="137"/>
      <c r="EQ9" s="135">
        <f t="shared" si="66"/>
        <v>0</v>
      </c>
      <c r="ES9" s="88">
        <v>5</v>
      </c>
      <c r="ET9" s="2">
        <v>4</v>
      </c>
      <c r="EU9" s="100">
        <v>6</v>
      </c>
      <c r="EV9" s="125">
        <f t="shared" si="67"/>
        <v>24</v>
      </c>
      <c r="EW9" s="113"/>
      <c r="EX9" s="134">
        <f t="shared" si="68"/>
        <v>0</v>
      </c>
      <c r="EY9" s="136"/>
      <c r="EZ9" s="134">
        <f t="shared" si="69"/>
        <v>0</v>
      </c>
      <c r="FA9" s="136"/>
      <c r="FB9" s="134">
        <f t="shared" si="70"/>
        <v>0</v>
      </c>
      <c r="FC9" s="136"/>
      <c r="FD9" s="134">
        <f t="shared" si="71"/>
        <v>0</v>
      </c>
      <c r="FE9" s="136"/>
      <c r="FF9" s="134">
        <f t="shared" si="72"/>
        <v>0</v>
      </c>
      <c r="FG9" s="136"/>
      <c r="FH9" s="134">
        <f t="shared" si="73"/>
        <v>0</v>
      </c>
      <c r="FI9" s="136"/>
      <c r="FJ9" s="134">
        <f t="shared" si="74"/>
        <v>0</v>
      </c>
      <c r="FK9" s="136"/>
      <c r="FL9" s="134">
        <f t="shared" si="75"/>
        <v>0</v>
      </c>
      <c r="FM9" s="137"/>
      <c r="FN9" s="134">
        <f t="shared" si="76"/>
        <v>0</v>
      </c>
      <c r="FO9" s="136"/>
      <c r="FP9" s="134">
        <f t="shared" si="77"/>
        <v>0</v>
      </c>
      <c r="FQ9" s="136"/>
      <c r="FR9" s="134">
        <f t="shared" si="78"/>
        <v>0</v>
      </c>
      <c r="FS9" s="136"/>
      <c r="FT9" s="134">
        <f t="shared" si="79"/>
        <v>0</v>
      </c>
      <c r="FU9" s="136"/>
      <c r="FV9" s="134">
        <f t="shared" si="80"/>
        <v>0</v>
      </c>
      <c r="FW9" s="136"/>
      <c r="FX9" s="134">
        <f t="shared" si="81"/>
        <v>0</v>
      </c>
      <c r="FY9" s="136"/>
      <c r="FZ9" s="134">
        <f t="shared" si="82"/>
        <v>0</v>
      </c>
      <c r="GA9" s="137"/>
      <c r="GB9" s="135">
        <f t="shared" si="83"/>
        <v>0</v>
      </c>
    </row>
    <row r="10" spans="1:184">
      <c r="A10" s="88">
        <v>6</v>
      </c>
      <c r="B10" s="2">
        <v>3</v>
      </c>
      <c r="C10" s="100">
        <v>8</v>
      </c>
      <c r="D10" s="125">
        <f t="shared" si="0"/>
        <v>26</v>
      </c>
      <c r="E10" s="113"/>
      <c r="F10" s="134">
        <f t="shared" si="1"/>
        <v>0</v>
      </c>
      <c r="G10" s="136"/>
      <c r="H10" s="134">
        <f t="shared" si="2"/>
        <v>0</v>
      </c>
      <c r="I10" s="136"/>
      <c r="J10" s="134">
        <f t="shared" si="3"/>
        <v>0</v>
      </c>
      <c r="K10" s="136"/>
      <c r="L10" s="134">
        <f t="shared" si="4"/>
        <v>0</v>
      </c>
      <c r="M10" s="136"/>
      <c r="N10" s="134">
        <f t="shared" si="5"/>
        <v>0</v>
      </c>
      <c r="O10" s="136"/>
      <c r="P10" s="134">
        <f t="shared" si="6"/>
        <v>0</v>
      </c>
      <c r="Q10" s="136"/>
      <c r="R10" s="134">
        <f t="shared" si="7"/>
        <v>0</v>
      </c>
      <c r="S10" s="136"/>
      <c r="T10" s="134">
        <f t="shared" si="8"/>
        <v>0</v>
      </c>
      <c r="U10" s="137"/>
      <c r="V10" s="134">
        <f t="shared" si="9"/>
        <v>0</v>
      </c>
      <c r="W10" s="136"/>
      <c r="X10" s="134">
        <f t="shared" si="10"/>
        <v>0</v>
      </c>
      <c r="Y10" s="136"/>
      <c r="Z10" s="134">
        <f t="shared" si="11"/>
        <v>0</v>
      </c>
      <c r="AA10" s="136"/>
      <c r="AB10" s="134">
        <f t="shared" si="12"/>
        <v>0</v>
      </c>
      <c r="AC10" s="136"/>
      <c r="AD10" s="134">
        <f t="shared" si="13"/>
        <v>0</v>
      </c>
      <c r="AE10" s="136"/>
      <c r="AF10" s="134">
        <f t="shared" si="14"/>
        <v>0</v>
      </c>
      <c r="AG10" s="136"/>
      <c r="AH10" s="134">
        <f t="shared" si="15"/>
        <v>0</v>
      </c>
      <c r="AI10" s="137"/>
      <c r="AJ10" s="135">
        <f t="shared" si="15"/>
        <v>0</v>
      </c>
      <c r="AL10" s="88">
        <v>6</v>
      </c>
      <c r="AM10" s="2">
        <v>3</v>
      </c>
      <c r="AN10" s="100">
        <v>8</v>
      </c>
      <c r="AO10" s="125">
        <f t="shared" si="16"/>
        <v>26</v>
      </c>
      <c r="AP10" s="113"/>
      <c r="AQ10" s="134">
        <f t="shared" si="17"/>
        <v>0</v>
      </c>
      <c r="AR10" s="136"/>
      <c r="AS10" s="134">
        <f t="shared" si="18"/>
        <v>0</v>
      </c>
      <c r="AT10" s="136"/>
      <c r="AU10" s="134">
        <f t="shared" si="19"/>
        <v>0</v>
      </c>
      <c r="AV10" s="136"/>
      <c r="AW10" s="134">
        <f t="shared" si="20"/>
        <v>0</v>
      </c>
      <c r="AX10" s="136"/>
      <c r="AY10" s="134">
        <f t="shared" si="21"/>
        <v>0</v>
      </c>
      <c r="AZ10" s="136"/>
      <c r="BA10" s="134">
        <f t="shared" si="22"/>
        <v>0</v>
      </c>
      <c r="BB10" s="136"/>
      <c r="BC10" s="134">
        <f t="shared" si="23"/>
        <v>0</v>
      </c>
      <c r="BD10" s="136"/>
      <c r="BE10" s="134">
        <f t="shared" si="24"/>
        <v>0</v>
      </c>
      <c r="BF10" s="137"/>
      <c r="BG10" s="134">
        <f t="shared" si="25"/>
        <v>0</v>
      </c>
      <c r="BH10" s="136"/>
      <c r="BI10" s="134">
        <f t="shared" si="26"/>
        <v>0</v>
      </c>
      <c r="BJ10" s="136"/>
      <c r="BK10" s="134">
        <f t="shared" si="27"/>
        <v>0</v>
      </c>
      <c r="BL10" s="136"/>
      <c r="BM10" s="134">
        <f t="shared" si="28"/>
        <v>0</v>
      </c>
      <c r="BN10" s="136"/>
      <c r="BO10" s="134">
        <f t="shared" si="29"/>
        <v>0</v>
      </c>
      <c r="BP10" s="136"/>
      <c r="BQ10" s="134">
        <f t="shared" si="30"/>
        <v>0</v>
      </c>
      <c r="BR10" s="136"/>
      <c r="BS10" s="134">
        <f t="shared" si="31"/>
        <v>0</v>
      </c>
      <c r="BT10" s="137"/>
      <c r="BU10" s="135">
        <f t="shared" si="32"/>
        <v>0</v>
      </c>
      <c r="BW10" s="88">
        <v>6</v>
      </c>
      <c r="BX10" s="2">
        <v>3</v>
      </c>
      <c r="BY10" s="100">
        <v>8</v>
      </c>
      <c r="BZ10" s="125">
        <f t="shared" si="33"/>
        <v>26</v>
      </c>
      <c r="CA10" s="113"/>
      <c r="CB10" s="134">
        <f t="shared" si="34"/>
        <v>0</v>
      </c>
      <c r="CC10" s="136"/>
      <c r="CD10" s="134">
        <f t="shared" si="35"/>
        <v>0</v>
      </c>
      <c r="CE10" s="136"/>
      <c r="CF10" s="134">
        <f t="shared" si="36"/>
        <v>0</v>
      </c>
      <c r="CG10" s="136"/>
      <c r="CH10" s="134">
        <f t="shared" si="37"/>
        <v>0</v>
      </c>
      <c r="CI10" s="136"/>
      <c r="CJ10" s="134">
        <f t="shared" si="38"/>
        <v>0</v>
      </c>
      <c r="CK10" s="136"/>
      <c r="CL10" s="134">
        <f t="shared" si="39"/>
        <v>0</v>
      </c>
      <c r="CM10" s="136"/>
      <c r="CN10" s="134">
        <f t="shared" si="40"/>
        <v>0</v>
      </c>
      <c r="CO10" s="136"/>
      <c r="CP10" s="134">
        <f t="shared" si="41"/>
        <v>0</v>
      </c>
      <c r="CQ10" s="137"/>
      <c r="CR10" s="134">
        <f t="shared" si="42"/>
        <v>0</v>
      </c>
      <c r="CS10" s="136"/>
      <c r="CT10" s="134">
        <f t="shared" si="43"/>
        <v>0</v>
      </c>
      <c r="CU10" s="136"/>
      <c r="CV10" s="134">
        <f t="shared" si="44"/>
        <v>0</v>
      </c>
      <c r="CW10" s="136"/>
      <c r="CX10" s="134">
        <f t="shared" si="45"/>
        <v>0</v>
      </c>
      <c r="CY10" s="136"/>
      <c r="CZ10" s="134">
        <f t="shared" si="46"/>
        <v>0</v>
      </c>
      <c r="DA10" s="136"/>
      <c r="DB10" s="134">
        <f t="shared" si="47"/>
        <v>0</v>
      </c>
      <c r="DC10" s="136"/>
      <c r="DD10" s="134">
        <f t="shared" si="48"/>
        <v>0</v>
      </c>
      <c r="DE10" s="137"/>
      <c r="DF10" s="135">
        <f t="shared" si="49"/>
        <v>0</v>
      </c>
      <c r="DH10" s="88">
        <v>6</v>
      </c>
      <c r="DI10" s="2">
        <v>3</v>
      </c>
      <c r="DJ10" s="100">
        <v>8</v>
      </c>
      <c r="DK10" s="125">
        <f t="shared" si="50"/>
        <v>26</v>
      </c>
      <c r="DL10" s="113"/>
      <c r="DM10" s="134">
        <f t="shared" si="51"/>
        <v>0</v>
      </c>
      <c r="DN10" s="136"/>
      <c r="DO10" s="134">
        <f t="shared" si="52"/>
        <v>0</v>
      </c>
      <c r="DP10" s="136"/>
      <c r="DQ10" s="134">
        <f t="shared" si="53"/>
        <v>0</v>
      </c>
      <c r="DR10" s="136"/>
      <c r="DS10" s="134">
        <f t="shared" si="54"/>
        <v>0</v>
      </c>
      <c r="DT10" s="136"/>
      <c r="DU10" s="134">
        <f t="shared" si="55"/>
        <v>0</v>
      </c>
      <c r="DV10" s="136"/>
      <c r="DW10" s="134">
        <f t="shared" si="56"/>
        <v>0</v>
      </c>
      <c r="DX10" s="136"/>
      <c r="DY10" s="134">
        <f t="shared" si="57"/>
        <v>0</v>
      </c>
      <c r="DZ10" s="136"/>
      <c r="EA10" s="134">
        <f t="shared" si="58"/>
        <v>0</v>
      </c>
      <c r="EB10" s="137"/>
      <c r="EC10" s="134">
        <f t="shared" si="59"/>
        <v>0</v>
      </c>
      <c r="ED10" s="136"/>
      <c r="EE10" s="134">
        <f t="shared" si="60"/>
        <v>0</v>
      </c>
      <c r="EF10" s="136"/>
      <c r="EG10" s="134">
        <f t="shared" si="61"/>
        <v>0</v>
      </c>
      <c r="EH10" s="136"/>
      <c r="EI10" s="134">
        <f t="shared" si="62"/>
        <v>0</v>
      </c>
      <c r="EJ10" s="136"/>
      <c r="EK10" s="134">
        <f t="shared" si="63"/>
        <v>0</v>
      </c>
      <c r="EL10" s="136"/>
      <c r="EM10" s="134">
        <f t="shared" si="64"/>
        <v>0</v>
      </c>
      <c r="EN10" s="136"/>
      <c r="EO10" s="134">
        <f t="shared" si="65"/>
        <v>0</v>
      </c>
      <c r="EP10" s="137"/>
      <c r="EQ10" s="135">
        <f t="shared" si="66"/>
        <v>0</v>
      </c>
      <c r="ES10" s="88">
        <v>6</v>
      </c>
      <c r="ET10" s="2">
        <v>3</v>
      </c>
      <c r="EU10" s="100">
        <v>8</v>
      </c>
      <c r="EV10" s="125">
        <f t="shared" si="67"/>
        <v>26</v>
      </c>
      <c r="EW10" s="113"/>
      <c r="EX10" s="134">
        <f t="shared" si="68"/>
        <v>0</v>
      </c>
      <c r="EY10" s="136"/>
      <c r="EZ10" s="134">
        <f t="shared" si="69"/>
        <v>0</v>
      </c>
      <c r="FA10" s="136"/>
      <c r="FB10" s="134">
        <f t="shared" si="70"/>
        <v>0</v>
      </c>
      <c r="FC10" s="136"/>
      <c r="FD10" s="134">
        <f t="shared" si="71"/>
        <v>0</v>
      </c>
      <c r="FE10" s="136"/>
      <c r="FF10" s="134">
        <f t="shared" si="72"/>
        <v>0</v>
      </c>
      <c r="FG10" s="136"/>
      <c r="FH10" s="134">
        <f t="shared" si="73"/>
        <v>0</v>
      </c>
      <c r="FI10" s="136"/>
      <c r="FJ10" s="134">
        <f t="shared" si="74"/>
        <v>0</v>
      </c>
      <c r="FK10" s="136"/>
      <c r="FL10" s="134">
        <f t="shared" si="75"/>
        <v>0</v>
      </c>
      <c r="FM10" s="137"/>
      <c r="FN10" s="134">
        <f t="shared" si="76"/>
        <v>0</v>
      </c>
      <c r="FO10" s="136"/>
      <c r="FP10" s="134">
        <f t="shared" si="77"/>
        <v>0</v>
      </c>
      <c r="FQ10" s="136"/>
      <c r="FR10" s="134">
        <f t="shared" si="78"/>
        <v>0</v>
      </c>
      <c r="FS10" s="136"/>
      <c r="FT10" s="134">
        <f t="shared" si="79"/>
        <v>0</v>
      </c>
      <c r="FU10" s="136"/>
      <c r="FV10" s="134">
        <f t="shared" si="80"/>
        <v>0</v>
      </c>
      <c r="FW10" s="136"/>
      <c r="FX10" s="134">
        <f t="shared" si="81"/>
        <v>0</v>
      </c>
      <c r="FY10" s="136"/>
      <c r="FZ10" s="134">
        <f t="shared" si="82"/>
        <v>0</v>
      </c>
      <c r="GA10" s="137"/>
      <c r="GB10" s="135">
        <f t="shared" si="83"/>
        <v>0</v>
      </c>
    </row>
    <row r="11" spans="1:184">
      <c r="A11" s="88">
        <v>7</v>
      </c>
      <c r="B11" s="2">
        <v>5</v>
      </c>
      <c r="C11" s="100">
        <v>12</v>
      </c>
      <c r="D11" s="125">
        <f t="shared" si="0"/>
        <v>30</v>
      </c>
      <c r="E11" s="113"/>
      <c r="F11" s="134">
        <f t="shared" si="1"/>
        <v>0</v>
      </c>
      <c r="G11" s="136"/>
      <c r="H11" s="134">
        <f t="shared" si="2"/>
        <v>0</v>
      </c>
      <c r="I11" s="136"/>
      <c r="J11" s="134">
        <f t="shared" si="3"/>
        <v>0</v>
      </c>
      <c r="K11" s="136"/>
      <c r="L11" s="134">
        <f t="shared" si="4"/>
        <v>0</v>
      </c>
      <c r="M11" s="136"/>
      <c r="N11" s="134">
        <f t="shared" si="5"/>
        <v>0</v>
      </c>
      <c r="O11" s="136"/>
      <c r="P11" s="134">
        <f t="shared" si="6"/>
        <v>0</v>
      </c>
      <c r="Q11" s="136"/>
      <c r="R11" s="134">
        <f t="shared" si="7"/>
        <v>0</v>
      </c>
      <c r="S11" s="136"/>
      <c r="T11" s="134">
        <f t="shared" si="8"/>
        <v>0</v>
      </c>
      <c r="U11" s="137"/>
      <c r="V11" s="134">
        <f t="shared" si="9"/>
        <v>0</v>
      </c>
      <c r="W11" s="136"/>
      <c r="X11" s="134">
        <f t="shared" si="10"/>
        <v>0</v>
      </c>
      <c r="Y11" s="136"/>
      <c r="Z11" s="134">
        <f t="shared" si="11"/>
        <v>0</v>
      </c>
      <c r="AA11" s="136"/>
      <c r="AB11" s="134">
        <f t="shared" si="12"/>
        <v>0</v>
      </c>
      <c r="AC11" s="136"/>
      <c r="AD11" s="134">
        <f t="shared" si="13"/>
        <v>0</v>
      </c>
      <c r="AE11" s="136"/>
      <c r="AF11" s="134">
        <f t="shared" si="14"/>
        <v>0</v>
      </c>
      <c r="AG11" s="136"/>
      <c r="AH11" s="134">
        <f t="shared" si="15"/>
        <v>0</v>
      </c>
      <c r="AI11" s="137"/>
      <c r="AJ11" s="135">
        <f t="shared" si="15"/>
        <v>0</v>
      </c>
      <c r="AL11" s="88">
        <v>7</v>
      </c>
      <c r="AM11" s="2">
        <v>5</v>
      </c>
      <c r="AN11" s="100">
        <v>12</v>
      </c>
      <c r="AO11" s="125">
        <f t="shared" si="16"/>
        <v>30</v>
      </c>
      <c r="AP11" s="113"/>
      <c r="AQ11" s="134">
        <f t="shared" si="17"/>
        <v>0</v>
      </c>
      <c r="AR11" s="136"/>
      <c r="AS11" s="134">
        <f t="shared" si="18"/>
        <v>0</v>
      </c>
      <c r="AT11" s="136"/>
      <c r="AU11" s="134">
        <f t="shared" si="19"/>
        <v>0</v>
      </c>
      <c r="AV11" s="136"/>
      <c r="AW11" s="134">
        <f t="shared" si="20"/>
        <v>0</v>
      </c>
      <c r="AX11" s="136"/>
      <c r="AY11" s="134">
        <f t="shared" si="21"/>
        <v>0</v>
      </c>
      <c r="AZ11" s="136"/>
      <c r="BA11" s="134">
        <f t="shared" si="22"/>
        <v>0</v>
      </c>
      <c r="BB11" s="136"/>
      <c r="BC11" s="134">
        <f t="shared" si="23"/>
        <v>0</v>
      </c>
      <c r="BD11" s="136"/>
      <c r="BE11" s="134">
        <f t="shared" si="24"/>
        <v>0</v>
      </c>
      <c r="BF11" s="137"/>
      <c r="BG11" s="134">
        <f t="shared" si="25"/>
        <v>0</v>
      </c>
      <c r="BH11" s="136"/>
      <c r="BI11" s="134">
        <f t="shared" si="26"/>
        <v>0</v>
      </c>
      <c r="BJ11" s="136"/>
      <c r="BK11" s="134">
        <f t="shared" si="27"/>
        <v>0</v>
      </c>
      <c r="BL11" s="136"/>
      <c r="BM11" s="134">
        <f t="shared" si="28"/>
        <v>0</v>
      </c>
      <c r="BN11" s="136"/>
      <c r="BO11" s="134">
        <f t="shared" si="29"/>
        <v>0</v>
      </c>
      <c r="BP11" s="136"/>
      <c r="BQ11" s="134">
        <f t="shared" si="30"/>
        <v>0</v>
      </c>
      <c r="BR11" s="136"/>
      <c r="BS11" s="134">
        <f t="shared" si="31"/>
        <v>0</v>
      </c>
      <c r="BT11" s="137"/>
      <c r="BU11" s="135">
        <f t="shared" si="32"/>
        <v>0</v>
      </c>
      <c r="BW11" s="88">
        <v>7</v>
      </c>
      <c r="BX11" s="2">
        <v>5</v>
      </c>
      <c r="BY11" s="100">
        <v>12</v>
      </c>
      <c r="BZ11" s="125">
        <f t="shared" si="33"/>
        <v>30</v>
      </c>
      <c r="CA11" s="113"/>
      <c r="CB11" s="134">
        <f t="shared" si="34"/>
        <v>0</v>
      </c>
      <c r="CC11" s="136"/>
      <c r="CD11" s="134">
        <f t="shared" si="35"/>
        <v>0</v>
      </c>
      <c r="CE11" s="136"/>
      <c r="CF11" s="134">
        <f t="shared" si="36"/>
        <v>0</v>
      </c>
      <c r="CG11" s="136"/>
      <c r="CH11" s="134">
        <f t="shared" si="37"/>
        <v>0</v>
      </c>
      <c r="CI11" s="136"/>
      <c r="CJ11" s="134">
        <f t="shared" si="38"/>
        <v>0</v>
      </c>
      <c r="CK11" s="136"/>
      <c r="CL11" s="134">
        <f t="shared" si="39"/>
        <v>0</v>
      </c>
      <c r="CM11" s="136"/>
      <c r="CN11" s="134">
        <f t="shared" si="40"/>
        <v>0</v>
      </c>
      <c r="CO11" s="136"/>
      <c r="CP11" s="134">
        <f t="shared" si="41"/>
        <v>0</v>
      </c>
      <c r="CQ11" s="137"/>
      <c r="CR11" s="134">
        <f t="shared" si="42"/>
        <v>0</v>
      </c>
      <c r="CS11" s="136"/>
      <c r="CT11" s="134">
        <f t="shared" si="43"/>
        <v>0</v>
      </c>
      <c r="CU11" s="136"/>
      <c r="CV11" s="134">
        <f t="shared" si="44"/>
        <v>0</v>
      </c>
      <c r="CW11" s="136"/>
      <c r="CX11" s="134">
        <f t="shared" si="45"/>
        <v>0</v>
      </c>
      <c r="CY11" s="136"/>
      <c r="CZ11" s="134">
        <f t="shared" si="46"/>
        <v>0</v>
      </c>
      <c r="DA11" s="136"/>
      <c r="DB11" s="134">
        <f t="shared" si="47"/>
        <v>0</v>
      </c>
      <c r="DC11" s="136"/>
      <c r="DD11" s="134">
        <f t="shared" si="48"/>
        <v>0</v>
      </c>
      <c r="DE11" s="137"/>
      <c r="DF11" s="135">
        <f t="shared" si="49"/>
        <v>0</v>
      </c>
      <c r="DH11" s="88">
        <v>7</v>
      </c>
      <c r="DI11" s="2">
        <v>5</v>
      </c>
      <c r="DJ11" s="100">
        <v>12</v>
      </c>
      <c r="DK11" s="125">
        <f t="shared" si="50"/>
        <v>30</v>
      </c>
      <c r="DL11" s="113"/>
      <c r="DM11" s="134">
        <f t="shared" si="51"/>
        <v>0</v>
      </c>
      <c r="DN11" s="136"/>
      <c r="DO11" s="134">
        <f t="shared" si="52"/>
        <v>0</v>
      </c>
      <c r="DP11" s="136"/>
      <c r="DQ11" s="134">
        <f t="shared" si="53"/>
        <v>0</v>
      </c>
      <c r="DR11" s="136"/>
      <c r="DS11" s="134">
        <f t="shared" si="54"/>
        <v>0</v>
      </c>
      <c r="DT11" s="136"/>
      <c r="DU11" s="134">
        <f t="shared" si="55"/>
        <v>0</v>
      </c>
      <c r="DV11" s="136"/>
      <c r="DW11" s="134">
        <f t="shared" si="56"/>
        <v>0</v>
      </c>
      <c r="DX11" s="136"/>
      <c r="DY11" s="134">
        <f t="shared" si="57"/>
        <v>0</v>
      </c>
      <c r="DZ11" s="136"/>
      <c r="EA11" s="134">
        <f t="shared" si="58"/>
        <v>0</v>
      </c>
      <c r="EB11" s="137"/>
      <c r="EC11" s="134">
        <f t="shared" si="59"/>
        <v>0</v>
      </c>
      <c r="ED11" s="136"/>
      <c r="EE11" s="134">
        <f t="shared" si="60"/>
        <v>0</v>
      </c>
      <c r="EF11" s="136"/>
      <c r="EG11" s="134">
        <f t="shared" si="61"/>
        <v>0</v>
      </c>
      <c r="EH11" s="136"/>
      <c r="EI11" s="134">
        <f t="shared" si="62"/>
        <v>0</v>
      </c>
      <c r="EJ11" s="136"/>
      <c r="EK11" s="134">
        <f t="shared" si="63"/>
        <v>0</v>
      </c>
      <c r="EL11" s="136"/>
      <c r="EM11" s="134">
        <f t="shared" si="64"/>
        <v>0</v>
      </c>
      <c r="EN11" s="136"/>
      <c r="EO11" s="134">
        <f t="shared" si="65"/>
        <v>0</v>
      </c>
      <c r="EP11" s="137"/>
      <c r="EQ11" s="135">
        <f t="shared" si="66"/>
        <v>0</v>
      </c>
      <c r="ES11" s="88">
        <v>7</v>
      </c>
      <c r="ET11" s="2">
        <v>5</v>
      </c>
      <c r="EU11" s="100">
        <v>12</v>
      </c>
      <c r="EV11" s="125">
        <f t="shared" si="67"/>
        <v>30</v>
      </c>
      <c r="EW11" s="113"/>
      <c r="EX11" s="134">
        <f t="shared" si="68"/>
        <v>0</v>
      </c>
      <c r="EY11" s="136"/>
      <c r="EZ11" s="134">
        <f t="shared" si="69"/>
        <v>0</v>
      </c>
      <c r="FA11" s="136"/>
      <c r="FB11" s="134">
        <f t="shared" si="70"/>
        <v>0</v>
      </c>
      <c r="FC11" s="136"/>
      <c r="FD11" s="134">
        <f t="shared" si="71"/>
        <v>0</v>
      </c>
      <c r="FE11" s="136"/>
      <c r="FF11" s="134">
        <f t="shared" si="72"/>
        <v>0</v>
      </c>
      <c r="FG11" s="136"/>
      <c r="FH11" s="134">
        <f t="shared" si="73"/>
        <v>0</v>
      </c>
      <c r="FI11" s="136"/>
      <c r="FJ11" s="134">
        <f t="shared" si="74"/>
        <v>0</v>
      </c>
      <c r="FK11" s="136"/>
      <c r="FL11" s="134">
        <f t="shared" si="75"/>
        <v>0</v>
      </c>
      <c r="FM11" s="137"/>
      <c r="FN11" s="134">
        <f t="shared" si="76"/>
        <v>0</v>
      </c>
      <c r="FO11" s="136"/>
      <c r="FP11" s="134">
        <f t="shared" si="77"/>
        <v>0</v>
      </c>
      <c r="FQ11" s="136"/>
      <c r="FR11" s="134">
        <f t="shared" si="78"/>
        <v>0</v>
      </c>
      <c r="FS11" s="136"/>
      <c r="FT11" s="134">
        <f t="shared" si="79"/>
        <v>0</v>
      </c>
      <c r="FU11" s="136"/>
      <c r="FV11" s="134">
        <f t="shared" si="80"/>
        <v>0</v>
      </c>
      <c r="FW11" s="136"/>
      <c r="FX11" s="134">
        <f t="shared" si="81"/>
        <v>0</v>
      </c>
      <c r="FY11" s="136"/>
      <c r="FZ11" s="134">
        <f t="shared" si="82"/>
        <v>0</v>
      </c>
      <c r="GA11" s="137"/>
      <c r="GB11" s="135">
        <f t="shared" si="83"/>
        <v>0</v>
      </c>
    </row>
    <row r="12" spans="1:184">
      <c r="A12" s="88">
        <v>8</v>
      </c>
      <c r="B12" s="2">
        <v>3</v>
      </c>
      <c r="C12" s="100">
        <v>15</v>
      </c>
      <c r="D12" s="125">
        <f t="shared" si="0"/>
        <v>33</v>
      </c>
      <c r="E12" s="113"/>
      <c r="F12" s="134">
        <f t="shared" si="1"/>
        <v>0</v>
      </c>
      <c r="G12" s="136"/>
      <c r="H12" s="134">
        <f t="shared" si="2"/>
        <v>0</v>
      </c>
      <c r="I12" s="136"/>
      <c r="J12" s="134">
        <f t="shared" si="3"/>
        <v>0</v>
      </c>
      <c r="K12" s="136"/>
      <c r="L12" s="134">
        <f t="shared" si="4"/>
        <v>0</v>
      </c>
      <c r="M12" s="136"/>
      <c r="N12" s="134">
        <f t="shared" si="5"/>
        <v>0</v>
      </c>
      <c r="O12" s="136"/>
      <c r="P12" s="134">
        <f t="shared" si="6"/>
        <v>0</v>
      </c>
      <c r="Q12" s="136"/>
      <c r="R12" s="134">
        <f t="shared" si="7"/>
        <v>0</v>
      </c>
      <c r="S12" s="136"/>
      <c r="T12" s="134">
        <f t="shared" si="8"/>
        <v>0</v>
      </c>
      <c r="U12" s="137"/>
      <c r="V12" s="134">
        <f t="shared" si="9"/>
        <v>0</v>
      </c>
      <c r="W12" s="136"/>
      <c r="X12" s="134">
        <f t="shared" si="10"/>
        <v>0</v>
      </c>
      <c r="Y12" s="136"/>
      <c r="Z12" s="134">
        <f t="shared" si="11"/>
        <v>0</v>
      </c>
      <c r="AA12" s="136"/>
      <c r="AB12" s="134">
        <f t="shared" si="12"/>
        <v>0</v>
      </c>
      <c r="AC12" s="136"/>
      <c r="AD12" s="134">
        <f t="shared" si="13"/>
        <v>0</v>
      </c>
      <c r="AE12" s="136"/>
      <c r="AF12" s="134">
        <f t="shared" si="14"/>
        <v>0</v>
      </c>
      <c r="AG12" s="136"/>
      <c r="AH12" s="134">
        <f t="shared" si="15"/>
        <v>0</v>
      </c>
      <c r="AI12" s="137"/>
      <c r="AJ12" s="135">
        <f t="shared" si="15"/>
        <v>0</v>
      </c>
      <c r="AL12" s="88">
        <v>8</v>
      </c>
      <c r="AM12" s="2">
        <v>3</v>
      </c>
      <c r="AN12" s="100">
        <v>15</v>
      </c>
      <c r="AO12" s="125">
        <f t="shared" si="16"/>
        <v>33</v>
      </c>
      <c r="AP12" s="113"/>
      <c r="AQ12" s="134">
        <f t="shared" si="17"/>
        <v>0</v>
      </c>
      <c r="AR12" s="136"/>
      <c r="AS12" s="134">
        <f t="shared" si="18"/>
        <v>0</v>
      </c>
      <c r="AT12" s="136"/>
      <c r="AU12" s="134">
        <f t="shared" si="19"/>
        <v>0</v>
      </c>
      <c r="AV12" s="136"/>
      <c r="AW12" s="134">
        <f t="shared" si="20"/>
        <v>0</v>
      </c>
      <c r="AX12" s="136"/>
      <c r="AY12" s="134">
        <f t="shared" si="21"/>
        <v>0</v>
      </c>
      <c r="AZ12" s="136"/>
      <c r="BA12" s="134">
        <f t="shared" si="22"/>
        <v>0</v>
      </c>
      <c r="BB12" s="136"/>
      <c r="BC12" s="134">
        <f t="shared" si="23"/>
        <v>0</v>
      </c>
      <c r="BD12" s="136"/>
      <c r="BE12" s="134">
        <f t="shared" si="24"/>
        <v>0</v>
      </c>
      <c r="BF12" s="137"/>
      <c r="BG12" s="134">
        <f t="shared" si="25"/>
        <v>0</v>
      </c>
      <c r="BH12" s="136"/>
      <c r="BI12" s="134">
        <f t="shared" si="26"/>
        <v>0</v>
      </c>
      <c r="BJ12" s="136"/>
      <c r="BK12" s="134">
        <f t="shared" si="27"/>
        <v>0</v>
      </c>
      <c r="BL12" s="136"/>
      <c r="BM12" s="134">
        <f t="shared" si="28"/>
        <v>0</v>
      </c>
      <c r="BN12" s="136"/>
      <c r="BO12" s="134">
        <f t="shared" si="29"/>
        <v>0</v>
      </c>
      <c r="BP12" s="136"/>
      <c r="BQ12" s="134">
        <f t="shared" si="30"/>
        <v>0</v>
      </c>
      <c r="BR12" s="136"/>
      <c r="BS12" s="134">
        <f t="shared" si="31"/>
        <v>0</v>
      </c>
      <c r="BT12" s="137"/>
      <c r="BU12" s="135">
        <f t="shared" si="32"/>
        <v>0</v>
      </c>
      <c r="BW12" s="88">
        <v>8</v>
      </c>
      <c r="BX12" s="2">
        <v>3</v>
      </c>
      <c r="BY12" s="100">
        <v>15</v>
      </c>
      <c r="BZ12" s="125">
        <f t="shared" si="33"/>
        <v>33</v>
      </c>
      <c r="CA12" s="113"/>
      <c r="CB12" s="134">
        <f t="shared" si="34"/>
        <v>0</v>
      </c>
      <c r="CC12" s="136"/>
      <c r="CD12" s="134">
        <f t="shared" si="35"/>
        <v>0</v>
      </c>
      <c r="CE12" s="136"/>
      <c r="CF12" s="134">
        <f t="shared" si="36"/>
        <v>0</v>
      </c>
      <c r="CG12" s="136"/>
      <c r="CH12" s="134">
        <f t="shared" si="37"/>
        <v>0</v>
      </c>
      <c r="CI12" s="136"/>
      <c r="CJ12" s="134">
        <f t="shared" si="38"/>
        <v>0</v>
      </c>
      <c r="CK12" s="136"/>
      <c r="CL12" s="134">
        <f t="shared" si="39"/>
        <v>0</v>
      </c>
      <c r="CM12" s="136"/>
      <c r="CN12" s="134">
        <f t="shared" si="40"/>
        <v>0</v>
      </c>
      <c r="CO12" s="136"/>
      <c r="CP12" s="134">
        <f t="shared" si="41"/>
        <v>0</v>
      </c>
      <c r="CQ12" s="137"/>
      <c r="CR12" s="134">
        <f t="shared" si="42"/>
        <v>0</v>
      </c>
      <c r="CS12" s="136"/>
      <c r="CT12" s="134">
        <f t="shared" si="43"/>
        <v>0</v>
      </c>
      <c r="CU12" s="136"/>
      <c r="CV12" s="134">
        <f t="shared" si="44"/>
        <v>0</v>
      </c>
      <c r="CW12" s="136"/>
      <c r="CX12" s="134">
        <f t="shared" si="45"/>
        <v>0</v>
      </c>
      <c r="CY12" s="136"/>
      <c r="CZ12" s="134">
        <f t="shared" si="46"/>
        <v>0</v>
      </c>
      <c r="DA12" s="136"/>
      <c r="DB12" s="134">
        <f t="shared" si="47"/>
        <v>0</v>
      </c>
      <c r="DC12" s="136"/>
      <c r="DD12" s="134">
        <f t="shared" si="48"/>
        <v>0</v>
      </c>
      <c r="DE12" s="137"/>
      <c r="DF12" s="135">
        <f t="shared" si="49"/>
        <v>0</v>
      </c>
      <c r="DH12" s="88">
        <v>8</v>
      </c>
      <c r="DI12" s="2">
        <v>3</v>
      </c>
      <c r="DJ12" s="100">
        <v>15</v>
      </c>
      <c r="DK12" s="125">
        <f t="shared" si="50"/>
        <v>33</v>
      </c>
      <c r="DL12" s="113"/>
      <c r="DM12" s="134">
        <f t="shared" si="51"/>
        <v>0</v>
      </c>
      <c r="DN12" s="136"/>
      <c r="DO12" s="134">
        <f t="shared" si="52"/>
        <v>0</v>
      </c>
      <c r="DP12" s="136"/>
      <c r="DQ12" s="134">
        <f t="shared" si="53"/>
        <v>0</v>
      </c>
      <c r="DR12" s="136"/>
      <c r="DS12" s="134">
        <f t="shared" si="54"/>
        <v>0</v>
      </c>
      <c r="DT12" s="136"/>
      <c r="DU12" s="134">
        <f t="shared" si="55"/>
        <v>0</v>
      </c>
      <c r="DV12" s="136"/>
      <c r="DW12" s="134">
        <f t="shared" si="56"/>
        <v>0</v>
      </c>
      <c r="DX12" s="136"/>
      <c r="DY12" s="134">
        <f t="shared" si="57"/>
        <v>0</v>
      </c>
      <c r="DZ12" s="136"/>
      <c r="EA12" s="134">
        <f t="shared" si="58"/>
        <v>0</v>
      </c>
      <c r="EB12" s="137"/>
      <c r="EC12" s="134">
        <f t="shared" si="59"/>
        <v>0</v>
      </c>
      <c r="ED12" s="136"/>
      <c r="EE12" s="134">
        <f t="shared" si="60"/>
        <v>0</v>
      </c>
      <c r="EF12" s="136"/>
      <c r="EG12" s="134">
        <f t="shared" si="61"/>
        <v>0</v>
      </c>
      <c r="EH12" s="136"/>
      <c r="EI12" s="134">
        <f t="shared" si="62"/>
        <v>0</v>
      </c>
      <c r="EJ12" s="136"/>
      <c r="EK12" s="134">
        <f t="shared" si="63"/>
        <v>0</v>
      </c>
      <c r="EL12" s="136"/>
      <c r="EM12" s="134">
        <f t="shared" si="64"/>
        <v>0</v>
      </c>
      <c r="EN12" s="136"/>
      <c r="EO12" s="134">
        <f t="shared" si="65"/>
        <v>0</v>
      </c>
      <c r="EP12" s="137"/>
      <c r="EQ12" s="135">
        <f t="shared" si="66"/>
        <v>0</v>
      </c>
      <c r="ES12" s="88">
        <v>8</v>
      </c>
      <c r="ET12" s="2">
        <v>3</v>
      </c>
      <c r="EU12" s="100">
        <v>15</v>
      </c>
      <c r="EV12" s="125">
        <f t="shared" si="67"/>
        <v>33</v>
      </c>
      <c r="EW12" s="113"/>
      <c r="EX12" s="134">
        <f t="shared" si="68"/>
        <v>0</v>
      </c>
      <c r="EY12" s="136"/>
      <c r="EZ12" s="134">
        <f t="shared" si="69"/>
        <v>0</v>
      </c>
      <c r="FA12" s="136"/>
      <c r="FB12" s="134">
        <f t="shared" si="70"/>
        <v>0</v>
      </c>
      <c r="FC12" s="136"/>
      <c r="FD12" s="134">
        <f t="shared" si="71"/>
        <v>0</v>
      </c>
      <c r="FE12" s="136"/>
      <c r="FF12" s="134">
        <f t="shared" si="72"/>
        <v>0</v>
      </c>
      <c r="FG12" s="136"/>
      <c r="FH12" s="134">
        <f t="shared" si="73"/>
        <v>0</v>
      </c>
      <c r="FI12" s="136"/>
      <c r="FJ12" s="134">
        <f t="shared" si="74"/>
        <v>0</v>
      </c>
      <c r="FK12" s="136"/>
      <c r="FL12" s="134">
        <f t="shared" si="75"/>
        <v>0</v>
      </c>
      <c r="FM12" s="137"/>
      <c r="FN12" s="134">
        <f t="shared" si="76"/>
        <v>0</v>
      </c>
      <c r="FO12" s="136"/>
      <c r="FP12" s="134">
        <f t="shared" si="77"/>
        <v>0</v>
      </c>
      <c r="FQ12" s="136"/>
      <c r="FR12" s="134">
        <f t="shared" si="78"/>
        <v>0</v>
      </c>
      <c r="FS12" s="136"/>
      <c r="FT12" s="134">
        <f t="shared" si="79"/>
        <v>0</v>
      </c>
      <c r="FU12" s="136"/>
      <c r="FV12" s="134">
        <f t="shared" si="80"/>
        <v>0</v>
      </c>
      <c r="FW12" s="136"/>
      <c r="FX12" s="134">
        <f t="shared" si="81"/>
        <v>0</v>
      </c>
      <c r="FY12" s="136"/>
      <c r="FZ12" s="134">
        <f t="shared" si="82"/>
        <v>0</v>
      </c>
      <c r="GA12" s="137"/>
      <c r="GB12" s="135">
        <f t="shared" si="83"/>
        <v>0</v>
      </c>
    </row>
    <row r="13" spans="1:184">
      <c r="A13" s="88">
        <v>9</v>
      </c>
      <c r="B13" s="2">
        <v>5</v>
      </c>
      <c r="C13" s="100">
        <v>18</v>
      </c>
      <c r="D13" s="125">
        <f t="shared" si="0"/>
        <v>36</v>
      </c>
      <c r="E13" s="113"/>
      <c r="F13" s="134">
        <f t="shared" si="1"/>
        <v>0</v>
      </c>
      <c r="G13" s="136"/>
      <c r="H13" s="134">
        <f t="shared" si="2"/>
        <v>0</v>
      </c>
      <c r="I13" s="136"/>
      <c r="J13" s="134">
        <f t="shared" si="3"/>
        <v>0</v>
      </c>
      <c r="K13" s="136"/>
      <c r="L13" s="134">
        <f t="shared" si="4"/>
        <v>0</v>
      </c>
      <c r="M13" s="136"/>
      <c r="N13" s="134">
        <f t="shared" si="5"/>
        <v>0</v>
      </c>
      <c r="O13" s="136"/>
      <c r="P13" s="134">
        <f t="shared" si="6"/>
        <v>0</v>
      </c>
      <c r="Q13" s="136"/>
      <c r="R13" s="134">
        <f t="shared" si="7"/>
        <v>0</v>
      </c>
      <c r="S13" s="136"/>
      <c r="T13" s="134">
        <f t="shared" si="8"/>
        <v>0</v>
      </c>
      <c r="U13" s="137"/>
      <c r="V13" s="134">
        <f t="shared" si="9"/>
        <v>0</v>
      </c>
      <c r="W13" s="136"/>
      <c r="X13" s="134">
        <f t="shared" si="10"/>
        <v>0</v>
      </c>
      <c r="Y13" s="136"/>
      <c r="Z13" s="134">
        <f t="shared" si="11"/>
        <v>0</v>
      </c>
      <c r="AA13" s="136"/>
      <c r="AB13" s="134">
        <f t="shared" si="12"/>
        <v>0</v>
      </c>
      <c r="AC13" s="136"/>
      <c r="AD13" s="134">
        <f t="shared" si="13"/>
        <v>0</v>
      </c>
      <c r="AE13" s="136"/>
      <c r="AF13" s="134">
        <f t="shared" si="14"/>
        <v>0</v>
      </c>
      <c r="AG13" s="136"/>
      <c r="AH13" s="134">
        <f t="shared" si="15"/>
        <v>0</v>
      </c>
      <c r="AI13" s="137"/>
      <c r="AJ13" s="135">
        <f t="shared" si="15"/>
        <v>0</v>
      </c>
      <c r="AL13" s="88">
        <v>9</v>
      </c>
      <c r="AM13" s="2">
        <v>5</v>
      </c>
      <c r="AN13" s="100">
        <v>18</v>
      </c>
      <c r="AO13" s="125">
        <f t="shared" si="16"/>
        <v>36</v>
      </c>
      <c r="AP13" s="113"/>
      <c r="AQ13" s="134">
        <f t="shared" si="17"/>
        <v>0</v>
      </c>
      <c r="AR13" s="136"/>
      <c r="AS13" s="134">
        <f t="shared" si="18"/>
        <v>0</v>
      </c>
      <c r="AT13" s="136"/>
      <c r="AU13" s="134">
        <f t="shared" si="19"/>
        <v>0</v>
      </c>
      <c r="AV13" s="136"/>
      <c r="AW13" s="134">
        <f t="shared" si="20"/>
        <v>0</v>
      </c>
      <c r="AX13" s="136"/>
      <c r="AY13" s="134">
        <f t="shared" si="21"/>
        <v>0</v>
      </c>
      <c r="AZ13" s="136"/>
      <c r="BA13" s="134">
        <f t="shared" si="22"/>
        <v>0</v>
      </c>
      <c r="BB13" s="136"/>
      <c r="BC13" s="134">
        <f t="shared" si="23"/>
        <v>0</v>
      </c>
      <c r="BD13" s="136"/>
      <c r="BE13" s="134">
        <f t="shared" si="24"/>
        <v>0</v>
      </c>
      <c r="BF13" s="137"/>
      <c r="BG13" s="134">
        <f t="shared" si="25"/>
        <v>0</v>
      </c>
      <c r="BH13" s="136"/>
      <c r="BI13" s="134">
        <f t="shared" si="26"/>
        <v>0</v>
      </c>
      <c r="BJ13" s="136"/>
      <c r="BK13" s="134">
        <f t="shared" si="27"/>
        <v>0</v>
      </c>
      <c r="BL13" s="136"/>
      <c r="BM13" s="134">
        <f t="shared" si="28"/>
        <v>0</v>
      </c>
      <c r="BN13" s="136"/>
      <c r="BO13" s="134">
        <f t="shared" si="29"/>
        <v>0</v>
      </c>
      <c r="BP13" s="136"/>
      <c r="BQ13" s="134">
        <f t="shared" si="30"/>
        <v>0</v>
      </c>
      <c r="BR13" s="136"/>
      <c r="BS13" s="134">
        <f t="shared" si="31"/>
        <v>0</v>
      </c>
      <c r="BT13" s="137"/>
      <c r="BU13" s="135">
        <f t="shared" si="32"/>
        <v>0</v>
      </c>
      <c r="BW13" s="88">
        <v>9</v>
      </c>
      <c r="BX13" s="2">
        <v>5</v>
      </c>
      <c r="BY13" s="100">
        <v>18</v>
      </c>
      <c r="BZ13" s="125">
        <f t="shared" si="33"/>
        <v>36</v>
      </c>
      <c r="CA13" s="113"/>
      <c r="CB13" s="134">
        <f t="shared" si="34"/>
        <v>0</v>
      </c>
      <c r="CC13" s="136"/>
      <c r="CD13" s="134">
        <f t="shared" si="35"/>
        <v>0</v>
      </c>
      <c r="CE13" s="136"/>
      <c r="CF13" s="134">
        <f t="shared" si="36"/>
        <v>0</v>
      </c>
      <c r="CG13" s="136"/>
      <c r="CH13" s="134">
        <f t="shared" si="37"/>
        <v>0</v>
      </c>
      <c r="CI13" s="136"/>
      <c r="CJ13" s="134">
        <f t="shared" si="38"/>
        <v>0</v>
      </c>
      <c r="CK13" s="136"/>
      <c r="CL13" s="134">
        <f t="shared" si="39"/>
        <v>0</v>
      </c>
      <c r="CM13" s="136"/>
      <c r="CN13" s="134">
        <f t="shared" si="40"/>
        <v>0</v>
      </c>
      <c r="CO13" s="136"/>
      <c r="CP13" s="134">
        <f t="shared" si="41"/>
        <v>0</v>
      </c>
      <c r="CQ13" s="137"/>
      <c r="CR13" s="134">
        <f t="shared" si="42"/>
        <v>0</v>
      </c>
      <c r="CS13" s="136"/>
      <c r="CT13" s="134">
        <f t="shared" si="43"/>
        <v>0</v>
      </c>
      <c r="CU13" s="136"/>
      <c r="CV13" s="134">
        <f t="shared" si="44"/>
        <v>0</v>
      </c>
      <c r="CW13" s="136"/>
      <c r="CX13" s="134">
        <f t="shared" si="45"/>
        <v>0</v>
      </c>
      <c r="CY13" s="136"/>
      <c r="CZ13" s="134">
        <f t="shared" si="46"/>
        <v>0</v>
      </c>
      <c r="DA13" s="136"/>
      <c r="DB13" s="134">
        <f t="shared" si="47"/>
        <v>0</v>
      </c>
      <c r="DC13" s="136"/>
      <c r="DD13" s="134">
        <f t="shared" si="48"/>
        <v>0</v>
      </c>
      <c r="DE13" s="137"/>
      <c r="DF13" s="135">
        <f t="shared" si="49"/>
        <v>0</v>
      </c>
      <c r="DH13" s="88">
        <v>9</v>
      </c>
      <c r="DI13" s="2">
        <v>5</v>
      </c>
      <c r="DJ13" s="100">
        <v>18</v>
      </c>
      <c r="DK13" s="125">
        <f t="shared" si="50"/>
        <v>36</v>
      </c>
      <c r="DL13" s="113"/>
      <c r="DM13" s="134">
        <f t="shared" si="51"/>
        <v>0</v>
      </c>
      <c r="DN13" s="136"/>
      <c r="DO13" s="134">
        <f t="shared" si="52"/>
        <v>0</v>
      </c>
      <c r="DP13" s="136"/>
      <c r="DQ13" s="134">
        <f t="shared" si="53"/>
        <v>0</v>
      </c>
      <c r="DR13" s="136"/>
      <c r="DS13" s="134">
        <f t="shared" si="54"/>
        <v>0</v>
      </c>
      <c r="DT13" s="136"/>
      <c r="DU13" s="134">
        <f t="shared" si="55"/>
        <v>0</v>
      </c>
      <c r="DV13" s="136"/>
      <c r="DW13" s="134">
        <f t="shared" si="56"/>
        <v>0</v>
      </c>
      <c r="DX13" s="136"/>
      <c r="DY13" s="134">
        <f t="shared" si="57"/>
        <v>0</v>
      </c>
      <c r="DZ13" s="136"/>
      <c r="EA13" s="134">
        <f t="shared" si="58"/>
        <v>0</v>
      </c>
      <c r="EB13" s="137"/>
      <c r="EC13" s="134">
        <f t="shared" si="59"/>
        <v>0</v>
      </c>
      <c r="ED13" s="136"/>
      <c r="EE13" s="134">
        <f t="shared" si="60"/>
        <v>0</v>
      </c>
      <c r="EF13" s="136"/>
      <c r="EG13" s="134">
        <f t="shared" si="61"/>
        <v>0</v>
      </c>
      <c r="EH13" s="136"/>
      <c r="EI13" s="134">
        <f t="shared" si="62"/>
        <v>0</v>
      </c>
      <c r="EJ13" s="136"/>
      <c r="EK13" s="134">
        <f t="shared" si="63"/>
        <v>0</v>
      </c>
      <c r="EL13" s="136"/>
      <c r="EM13" s="134">
        <f t="shared" si="64"/>
        <v>0</v>
      </c>
      <c r="EN13" s="136"/>
      <c r="EO13" s="134">
        <f t="shared" si="65"/>
        <v>0</v>
      </c>
      <c r="EP13" s="137"/>
      <c r="EQ13" s="135">
        <f t="shared" si="66"/>
        <v>0</v>
      </c>
      <c r="ES13" s="88">
        <v>9</v>
      </c>
      <c r="ET13" s="2">
        <v>5</v>
      </c>
      <c r="EU13" s="100">
        <v>18</v>
      </c>
      <c r="EV13" s="125">
        <f t="shared" si="67"/>
        <v>36</v>
      </c>
      <c r="EW13" s="113"/>
      <c r="EX13" s="134">
        <f t="shared" si="68"/>
        <v>0</v>
      </c>
      <c r="EY13" s="136"/>
      <c r="EZ13" s="134">
        <f t="shared" si="69"/>
        <v>0</v>
      </c>
      <c r="FA13" s="136"/>
      <c r="FB13" s="134">
        <f t="shared" si="70"/>
        <v>0</v>
      </c>
      <c r="FC13" s="136"/>
      <c r="FD13" s="134">
        <f t="shared" si="71"/>
        <v>0</v>
      </c>
      <c r="FE13" s="136"/>
      <c r="FF13" s="134">
        <f t="shared" si="72"/>
        <v>0</v>
      </c>
      <c r="FG13" s="136"/>
      <c r="FH13" s="134">
        <f t="shared" si="73"/>
        <v>0</v>
      </c>
      <c r="FI13" s="136"/>
      <c r="FJ13" s="134">
        <f t="shared" si="74"/>
        <v>0</v>
      </c>
      <c r="FK13" s="136"/>
      <c r="FL13" s="134">
        <f t="shared" si="75"/>
        <v>0</v>
      </c>
      <c r="FM13" s="137"/>
      <c r="FN13" s="134">
        <f t="shared" si="76"/>
        <v>0</v>
      </c>
      <c r="FO13" s="136"/>
      <c r="FP13" s="134">
        <f t="shared" si="77"/>
        <v>0</v>
      </c>
      <c r="FQ13" s="136"/>
      <c r="FR13" s="134">
        <f t="shared" si="78"/>
        <v>0</v>
      </c>
      <c r="FS13" s="136"/>
      <c r="FT13" s="134">
        <f t="shared" si="79"/>
        <v>0</v>
      </c>
      <c r="FU13" s="136"/>
      <c r="FV13" s="134">
        <f t="shared" si="80"/>
        <v>0</v>
      </c>
      <c r="FW13" s="136"/>
      <c r="FX13" s="134">
        <f t="shared" si="81"/>
        <v>0</v>
      </c>
      <c r="FY13" s="136"/>
      <c r="FZ13" s="134">
        <f t="shared" si="82"/>
        <v>0</v>
      </c>
      <c r="GA13" s="137"/>
      <c r="GB13" s="135">
        <f t="shared" si="83"/>
        <v>0</v>
      </c>
    </row>
    <row r="14" spans="1:184">
      <c r="A14" s="89" t="s">
        <v>56</v>
      </c>
      <c r="B14" s="29">
        <f>SUM(B5:B13)</f>
        <v>36</v>
      </c>
      <c r="C14" s="101"/>
      <c r="D14" s="126"/>
      <c r="E14" s="129"/>
      <c r="F14" s="28">
        <f>SUM(F5:F13)</f>
        <v>0</v>
      </c>
      <c r="G14" s="28"/>
      <c r="H14" s="28">
        <f t="shared" ref="H14:V14" si="84">SUM(H5:H13)</f>
        <v>0</v>
      </c>
      <c r="I14" s="28"/>
      <c r="J14" s="28">
        <f t="shared" ref="J14:V14" si="85">SUM(J5:J13)</f>
        <v>0</v>
      </c>
      <c r="K14" s="28"/>
      <c r="L14" s="28">
        <f t="shared" ref="L14:V14" si="86">SUM(L5:L13)</f>
        <v>0</v>
      </c>
      <c r="M14" s="28"/>
      <c r="N14" s="28">
        <f t="shared" ref="N14:V14" si="87">SUM(N5:N13)</f>
        <v>0</v>
      </c>
      <c r="O14" s="28"/>
      <c r="P14" s="28">
        <f t="shared" ref="P14:V14" si="88">SUM(P5:P13)</f>
        <v>0</v>
      </c>
      <c r="Q14" s="28"/>
      <c r="R14" s="28">
        <f t="shared" ref="R14:V14" si="89">SUM(R5:R13)</f>
        <v>0</v>
      </c>
      <c r="S14" s="28"/>
      <c r="T14" s="28">
        <f t="shared" ref="T14:V14" si="90">SUM(T5:T13)</f>
        <v>0</v>
      </c>
      <c r="U14" s="28"/>
      <c r="V14" s="28">
        <f t="shared" ref="V14" si="91">SUM(V5:V13)</f>
        <v>0</v>
      </c>
      <c r="W14" s="28"/>
      <c r="X14" s="28">
        <f>SUM(X5:X13)</f>
        <v>0</v>
      </c>
      <c r="Y14" s="28"/>
      <c r="Z14" s="28">
        <f t="shared" ref="Z14:AH14" si="92">SUM(Z5:Z13)</f>
        <v>0</v>
      </c>
      <c r="AA14" s="28"/>
      <c r="AB14" s="28">
        <f t="shared" si="92"/>
        <v>0</v>
      </c>
      <c r="AC14" s="28"/>
      <c r="AD14" s="28">
        <f t="shared" si="92"/>
        <v>0</v>
      </c>
      <c r="AE14" s="28"/>
      <c r="AF14" s="28">
        <f t="shared" si="92"/>
        <v>0</v>
      </c>
      <c r="AG14" s="28"/>
      <c r="AH14" s="28">
        <f t="shared" si="92"/>
        <v>0</v>
      </c>
      <c r="AI14" s="40"/>
      <c r="AJ14" s="118">
        <f t="shared" ref="AJ14" si="93">SUM(AJ5:AJ13)</f>
        <v>0</v>
      </c>
      <c r="AL14" s="89" t="s">
        <v>56</v>
      </c>
      <c r="AM14" s="29">
        <f>SUM(AM5:AM13)</f>
        <v>36</v>
      </c>
      <c r="AN14" s="101"/>
      <c r="AO14" s="126"/>
      <c r="AP14" s="129"/>
      <c r="AQ14" s="28">
        <f>SUM(AQ5:AQ13)</f>
        <v>0</v>
      </c>
      <c r="AR14" s="28"/>
      <c r="AS14" s="28">
        <f t="shared" ref="AS14:BG14" si="94">SUM(AS5:AS13)</f>
        <v>0</v>
      </c>
      <c r="AT14" s="28"/>
      <c r="AU14" s="28">
        <f t="shared" ref="AU14:BG14" si="95">SUM(AU5:AU13)</f>
        <v>0</v>
      </c>
      <c r="AV14" s="28"/>
      <c r="AW14" s="28">
        <f t="shared" ref="AW14:BG14" si="96">SUM(AW5:AW13)</f>
        <v>0</v>
      </c>
      <c r="AX14" s="28"/>
      <c r="AY14" s="28">
        <f t="shared" ref="AY14:BG14" si="97">SUM(AY5:AY13)</f>
        <v>0</v>
      </c>
      <c r="AZ14" s="28"/>
      <c r="BA14" s="28">
        <f t="shared" ref="BA14:BG14" si="98">SUM(BA5:BA13)</f>
        <v>0</v>
      </c>
      <c r="BB14" s="28"/>
      <c r="BC14" s="28">
        <f t="shared" ref="BC14:BG14" si="99">SUM(BC5:BC13)</f>
        <v>0</v>
      </c>
      <c r="BD14" s="28"/>
      <c r="BE14" s="28">
        <f t="shared" ref="BE14:BG14" si="100">SUM(BE5:BE13)</f>
        <v>0</v>
      </c>
      <c r="BF14" s="28"/>
      <c r="BG14" s="28">
        <f t="shared" ref="BG14" si="101">SUM(BG5:BG13)</f>
        <v>0</v>
      </c>
      <c r="BH14" s="28"/>
      <c r="BI14" s="28">
        <f>SUM(BI5:BI13)</f>
        <v>0</v>
      </c>
      <c r="BJ14" s="28"/>
      <c r="BK14" s="28">
        <f t="shared" ref="BK14:BS14" si="102">SUM(BK5:BK13)</f>
        <v>0</v>
      </c>
      <c r="BL14" s="28"/>
      <c r="BM14" s="28">
        <f t="shared" ref="BM14:BU14" si="103">SUM(BM5:BM13)</f>
        <v>0</v>
      </c>
      <c r="BN14" s="28"/>
      <c r="BO14" s="28">
        <f t="shared" ref="BO14:BU14" si="104">SUM(BO5:BO13)</f>
        <v>0</v>
      </c>
      <c r="BP14" s="28"/>
      <c r="BQ14" s="28">
        <f t="shared" ref="BQ14:BU14" si="105">SUM(BQ5:BQ13)</f>
        <v>0</v>
      </c>
      <c r="BR14" s="28"/>
      <c r="BS14" s="28">
        <f t="shared" ref="BS14:BU14" si="106">SUM(BS5:BS13)</f>
        <v>0</v>
      </c>
      <c r="BT14" s="40"/>
      <c r="BU14" s="118">
        <f t="shared" ref="BU14" si="107">SUM(BU5:BU13)</f>
        <v>0</v>
      </c>
      <c r="BW14" s="89" t="s">
        <v>56</v>
      </c>
      <c r="BX14" s="29">
        <f>SUM(BX5:BX13)</f>
        <v>36</v>
      </c>
      <c r="BY14" s="101"/>
      <c r="BZ14" s="126"/>
      <c r="CA14" s="129"/>
      <c r="CB14" s="28">
        <f>SUM(CB5:CB13)</f>
        <v>0</v>
      </c>
      <c r="CC14" s="28"/>
      <c r="CD14" s="28">
        <f t="shared" ref="CD14:CR14" si="108">SUM(CD5:CD13)</f>
        <v>0</v>
      </c>
      <c r="CE14" s="28"/>
      <c r="CF14" s="28">
        <f t="shared" ref="CF14:CR14" si="109">SUM(CF5:CF13)</f>
        <v>0</v>
      </c>
      <c r="CG14" s="28"/>
      <c r="CH14" s="28">
        <f t="shared" ref="CH14:CR14" si="110">SUM(CH5:CH13)</f>
        <v>0</v>
      </c>
      <c r="CI14" s="28"/>
      <c r="CJ14" s="28">
        <f t="shared" ref="CJ14:CR14" si="111">SUM(CJ5:CJ13)</f>
        <v>0</v>
      </c>
      <c r="CK14" s="28"/>
      <c r="CL14" s="28">
        <f t="shared" ref="CL14:CR14" si="112">SUM(CL5:CL13)</f>
        <v>0</v>
      </c>
      <c r="CM14" s="28"/>
      <c r="CN14" s="28">
        <f t="shared" ref="CN14:CR14" si="113">SUM(CN5:CN13)</f>
        <v>0</v>
      </c>
      <c r="CO14" s="28"/>
      <c r="CP14" s="28">
        <f t="shared" ref="CP14:CR14" si="114">SUM(CP5:CP13)</f>
        <v>0</v>
      </c>
      <c r="CQ14" s="28"/>
      <c r="CR14" s="28">
        <f t="shared" ref="CR14" si="115">SUM(CR5:CR13)</f>
        <v>0</v>
      </c>
      <c r="CS14" s="28"/>
      <c r="CT14" s="28">
        <f>SUM(CT5:CT13)</f>
        <v>0</v>
      </c>
      <c r="CU14" s="28"/>
      <c r="CV14" s="28">
        <f t="shared" ref="CV14:DD14" si="116">SUM(CV5:CV13)</f>
        <v>0</v>
      </c>
      <c r="CW14" s="28"/>
      <c r="CX14" s="28">
        <f t="shared" ref="CX14:DF14" si="117">SUM(CX5:CX13)</f>
        <v>0</v>
      </c>
      <c r="CY14" s="28"/>
      <c r="CZ14" s="28">
        <f t="shared" ref="CZ14:DF14" si="118">SUM(CZ5:CZ13)</f>
        <v>0</v>
      </c>
      <c r="DA14" s="28"/>
      <c r="DB14" s="28">
        <f t="shared" ref="DB14:DF14" si="119">SUM(DB5:DB13)</f>
        <v>0</v>
      </c>
      <c r="DC14" s="28"/>
      <c r="DD14" s="28">
        <f t="shared" ref="DD14:DF14" si="120">SUM(DD5:DD13)</f>
        <v>0</v>
      </c>
      <c r="DE14" s="40"/>
      <c r="DF14" s="118">
        <f t="shared" ref="DF14" si="121">SUM(DF5:DF13)</f>
        <v>0</v>
      </c>
      <c r="DH14" s="89" t="s">
        <v>56</v>
      </c>
      <c r="DI14" s="29">
        <f>SUM(DI5:DI13)</f>
        <v>36</v>
      </c>
      <c r="DJ14" s="101"/>
      <c r="DK14" s="126"/>
      <c r="DL14" s="129"/>
      <c r="DM14" s="28">
        <f>SUM(DM5:DM13)</f>
        <v>0</v>
      </c>
      <c r="DN14" s="28"/>
      <c r="DO14" s="28">
        <f t="shared" ref="DO14:EC14" si="122">SUM(DO5:DO13)</f>
        <v>0</v>
      </c>
      <c r="DP14" s="28"/>
      <c r="DQ14" s="28">
        <f t="shared" ref="DQ14:EC14" si="123">SUM(DQ5:DQ13)</f>
        <v>0</v>
      </c>
      <c r="DR14" s="28"/>
      <c r="DS14" s="28">
        <f t="shared" ref="DS14:EC14" si="124">SUM(DS5:DS13)</f>
        <v>0</v>
      </c>
      <c r="DT14" s="28"/>
      <c r="DU14" s="28">
        <f t="shared" ref="DU14:EC14" si="125">SUM(DU5:DU13)</f>
        <v>0</v>
      </c>
      <c r="DV14" s="28"/>
      <c r="DW14" s="28">
        <f t="shared" ref="DW14:EC14" si="126">SUM(DW5:DW13)</f>
        <v>0</v>
      </c>
      <c r="DX14" s="28"/>
      <c r="DY14" s="28">
        <f t="shared" ref="DY14:EC14" si="127">SUM(DY5:DY13)</f>
        <v>0</v>
      </c>
      <c r="DZ14" s="28"/>
      <c r="EA14" s="28">
        <f t="shared" ref="EA14:EC14" si="128">SUM(EA5:EA13)</f>
        <v>0</v>
      </c>
      <c r="EB14" s="28"/>
      <c r="EC14" s="28">
        <f t="shared" ref="EC14" si="129">SUM(EC5:EC13)</f>
        <v>0</v>
      </c>
      <c r="ED14" s="28"/>
      <c r="EE14" s="28">
        <f>SUM(EE5:EE13)</f>
        <v>0</v>
      </c>
      <c r="EF14" s="28"/>
      <c r="EG14" s="28">
        <f t="shared" ref="EG14:EO14" si="130">SUM(EG5:EG13)</f>
        <v>0</v>
      </c>
      <c r="EH14" s="28"/>
      <c r="EI14" s="28">
        <f t="shared" ref="EI14:EQ14" si="131">SUM(EI5:EI13)</f>
        <v>0</v>
      </c>
      <c r="EJ14" s="28"/>
      <c r="EK14" s="28">
        <f t="shared" ref="EK14:EQ14" si="132">SUM(EK5:EK13)</f>
        <v>0</v>
      </c>
      <c r="EL14" s="28"/>
      <c r="EM14" s="28">
        <f t="shared" ref="EM14:EQ14" si="133">SUM(EM5:EM13)</f>
        <v>0</v>
      </c>
      <c r="EN14" s="28"/>
      <c r="EO14" s="28">
        <f t="shared" ref="EO14:EQ14" si="134">SUM(EO5:EO13)</f>
        <v>0</v>
      </c>
      <c r="EP14" s="40"/>
      <c r="EQ14" s="118">
        <f t="shared" ref="EQ14" si="135">SUM(EQ5:EQ13)</f>
        <v>0</v>
      </c>
      <c r="ES14" s="89" t="s">
        <v>56</v>
      </c>
      <c r="ET14" s="29">
        <f>SUM(ET5:ET13)</f>
        <v>36</v>
      </c>
      <c r="EU14" s="101"/>
      <c r="EV14" s="126"/>
      <c r="EW14" s="129"/>
      <c r="EX14" s="28">
        <f>SUM(EX5:EX13)</f>
        <v>0</v>
      </c>
      <c r="EY14" s="28"/>
      <c r="EZ14" s="28">
        <f t="shared" ref="EZ14:FN14" si="136">SUM(EZ5:EZ13)</f>
        <v>0</v>
      </c>
      <c r="FA14" s="28"/>
      <c r="FB14" s="28">
        <f t="shared" ref="FB14:FN14" si="137">SUM(FB5:FB13)</f>
        <v>0</v>
      </c>
      <c r="FC14" s="28"/>
      <c r="FD14" s="28">
        <f t="shared" ref="FD14:FN14" si="138">SUM(FD5:FD13)</f>
        <v>0</v>
      </c>
      <c r="FE14" s="28"/>
      <c r="FF14" s="28">
        <f t="shared" ref="FF14:FN14" si="139">SUM(FF5:FF13)</f>
        <v>0</v>
      </c>
      <c r="FG14" s="28"/>
      <c r="FH14" s="28">
        <f t="shared" ref="FH14:FN14" si="140">SUM(FH5:FH13)</f>
        <v>0</v>
      </c>
      <c r="FI14" s="28"/>
      <c r="FJ14" s="28">
        <f t="shared" ref="FJ14:FN14" si="141">SUM(FJ5:FJ13)</f>
        <v>0</v>
      </c>
      <c r="FK14" s="28"/>
      <c r="FL14" s="28">
        <f t="shared" ref="FL14:FN14" si="142">SUM(FL5:FL13)</f>
        <v>0</v>
      </c>
      <c r="FM14" s="28"/>
      <c r="FN14" s="28">
        <f t="shared" ref="FN14" si="143">SUM(FN5:FN13)</f>
        <v>0</v>
      </c>
      <c r="FO14" s="28"/>
      <c r="FP14" s="28">
        <f>SUM(FP5:FP13)</f>
        <v>0</v>
      </c>
      <c r="FQ14" s="28"/>
      <c r="FR14" s="28">
        <f t="shared" ref="FR14:FZ14" si="144">SUM(FR5:FR13)</f>
        <v>0</v>
      </c>
      <c r="FS14" s="28"/>
      <c r="FT14" s="28">
        <f t="shared" ref="FT14:GB14" si="145">SUM(FT5:FT13)</f>
        <v>0</v>
      </c>
      <c r="FU14" s="28"/>
      <c r="FV14" s="28">
        <f t="shared" ref="FV14:GB14" si="146">SUM(FV5:FV13)</f>
        <v>0</v>
      </c>
      <c r="FW14" s="28"/>
      <c r="FX14" s="28">
        <f t="shared" ref="FX14:GB14" si="147">SUM(FX5:FX13)</f>
        <v>0</v>
      </c>
      <c r="FY14" s="28"/>
      <c r="FZ14" s="28">
        <f t="shared" ref="FZ14:GB14" si="148">SUM(FZ5:FZ13)</f>
        <v>0</v>
      </c>
      <c r="GA14" s="40"/>
      <c r="GB14" s="118">
        <f t="shared" ref="GB14" si="149">SUM(GB5:GB13)</f>
        <v>0</v>
      </c>
    </row>
    <row r="15" spans="1:184">
      <c r="A15" s="88">
        <v>10</v>
      </c>
      <c r="B15" s="2">
        <v>4</v>
      </c>
      <c r="C15" s="100">
        <v>1</v>
      </c>
      <c r="D15" s="125">
        <f t="shared" si="0"/>
        <v>19</v>
      </c>
      <c r="E15" s="113"/>
      <c r="F15" s="134">
        <f>IF(E15=0,0,MAX(0,IF(E$4&gt;18,IF($D15&lt;=E$4,2,1),IF($C15&lt;=E$4,1,0))-E15+$B15+2))</f>
        <v>0</v>
      </c>
      <c r="G15" s="136"/>
      <c r="H15" s="134">
        <f>IF(G15=0,0,MAX(0,IF(G$4&gt;18,IF($D15&lt;=G$4,2,1),IF($C15&lt;=G$4,1,0))-G15+$B15+2))</f>
        <v>0</v>
      </c>
      <c r="I15" s="136"/>
      <c r="J15" s="134">
        <f>IF(I15=0,0,MAX(0,IF(I$4&gt;18,IF($D15&lt;=I$4,2,1),IF($C15&lt;=I$4,1,0))-I15+$B15+2))</f>
        <v>0</v>
      </c>
      <c r="K15" s="136"/>
      <c r="L15" s="134">
        <f>IF(K15=0,0,MAX(0,IF(K$4&gt;18,IF($D15&lt;=K$4,2,1),IF($C15&lt;=K$4,1,0))-K15+$B15+2))</f>
        <v>0</v>
      </c>
      <c r="M15" s="136"/>
      <c r="N15" s="134">
        <f>IF(M15=0,0,MAX(0,IF(M$4&gt;18,IF($D15&lt;=M$4,2,1),IF($C15&lt;=M$4,1,0))-M15+$B15+2))</f>
        <v>0</v>
      </c>
      <c r="O15" s="136"/>
      <c r="P15" s="134">
        <f>IF(O15=0,0,MAX(0,IF(O$4&gt;18,IF($D15&lt;=O$4,2,1),IF($C15&lt;=O$4,1,0))-O15+$B15+2))</f>
        <v>0</v>
      </c>
      <c r="Q15" s="136"/>
      <c r="R15" s="134">
        <f>IF(Q15=0,0,MAX(0,IF(Q$4&gt;18,IF($D15&lt;=Q$4,2,1),IF($C15&lt;=Q$4,1,0))-Q15+$B15+2))</f>
        <v>0</v>
      </c>
      <c r="S15" s="136"/>
      <c r="T15" s="134">
        <f>IF(S15=0,0,MAX(0,IF(S$4&gt;18,IF($D15&lt;=S$4,2,1),IF($C15&lt;=S$4,1,0))-S15+$B15+2))</f>
        <v>0</v>
      </c>
      <c r="U15" s="137"/>
      <c r="V15" s="134">
        <f>IF(U15=0,0,MAX(0,IF(U$4&gt;18,IF($D15&lt;=U$4,2,1),IF($C15&lt;=U$4,1,0))-U15+$B15+2))</f>
        <v>0</v>
      </c>
      <c r="W15" s="136"/>
      <c r="X15" s="134">
        <f>IF(W15=0,0,MAX(0,IF(W$4&gt;18,IF($D15&lt;=W$4,2,1),IF($C15&lt;=W$4,1,0))-W15+$B15+2))</f>
        <v>0</v>
      </c>
      <c r="Y15" s="136"/>
      <c r="Z15" s="134">
        <f>IF(Y15=0,0,MAX(0,IF(Y$4&gt;18,IF($D15&lt;=Y$4,2,1),IF($C15&lt;=Y$4,1,0))-Y15+$B15+2))</f>
        <v>0</v>
      </c>
      <c r="AA15" s="136"/>
      <c r="AB15" s="134">
        <f>IF(AA15=0,0,MAX(0,IF(AA$4&gt;18,IF($D15&lt;=AA$4,2,1),IF($C15&lt;=AA$4,1,0))-AA15+$B15+2))</f>
        <v>0</v>
      </c>
      <c r="AC15" s="136"/>
      <c r="AD15" s="134">
        <f>IF(AC15=0,0,MAX(0,IF(AC$4&gt;18,IF($D15&lt;=AC$4,2,1),IF($C15&lt;=AC$4,1,0))-AC15+$B15+2))</f>
        <v>0</v>
      </c>
      <c r="AE15" s="136"/>
      <c r="AF15" s="134">
        <f>IF(AE15=0,0,MAX(0,IF(AE$4&gt;18,IF($D15&lt;=AE$4,2,1),IF($C15&lt;=AE$4,1,0))-AE15+$B15+2))</f>
        <v>0</v>
      </c>
      <c r="AG15" s="136"/>
      <c r="AH15" s="134">
        <f>IF(AG15=0,0,MAX(0,IF(AG$4&gt;18,IF($D15&lt;=AG$4,2,1),IF($C15&lt;=AG$4,1,0))-AG15+$B15+2))</f>
        <v>0</v>
      </c>
      <c r="AI15" s="137"/>
      <c r="AJ15" s="135">
        <f>IF(AI15=0,0,MAX(0,IF(AI$4&gt;18,IF($D15&lt;=AI$4,2,1),IF($C15&lt;=AI$4,1,0))-AI15+$B15+2))</f>
        <v>0</v>
      </c>
      <c r="AL15" s="88">
        <v>10</v>
      </c>
      <c r="AM15" s="2">
        <v>4</v>
      </c>
      <c r="AN15" s="100">
        <v>1</v>
      </c>
      <c r="AO15" s="125">
        <f t="shared" ref="AO15:AO26" si="150">AN15+18</f>
        <v>19</v>
      </c>
      <c r="AP15" s="113"/>
      <c r="AQ15" s="134">
        <f>IF(AP15=0,0,MAX(0,IF(AP$4&gt;18,IF($D15&lt;=AP$4,2,1),IF($C15&lt;=AP$4,1,0))-AP15+$B15+2))</f>
        <v>0</v>
      </c>
      <c r="AR15" s="136"/>
      <c r="AS15" s="134">
        <f>IF(AR15=0,0,MAX(0,IF(AR$4&gt;18,IF($D15&lt;=AR$4,2,1),IF($C15&lt;=AR$4,1,0))-AR15+$B15+2))</f>
        <v>0</v>
      </c>
      <c r="AT15" s="136"/>
      <c r="AU15" s="134">
        <f>IF(AT15=0,0,MAX(0,IF(AT$4&gt;18,IF($D15&lt;=AT$4,2,1),IF($C15&lt;=AT$4,1,0))-AT15+$B15+2))</f>
        <v>0</v>
      </c>
      <c r="AV15" s="136"/>
      <c r="AW15" s="134">
        <f>IF(AV15=0,0,MAX(0,IF(AV$4&gt;18,IF($D15&lt;=AV$4,2,1),IF($C15&lt;=AV$4,1,0))-AV15+$B15+2))</f>
        <v>0</v>
      </c>
      <c r="AX15" s="136"/>
      <c r="AY15" s="134">
        <f>IF(AX15=0,0,MAX(0,IF(AX$4&gt;18,IF($D15&lt;=AX$4,2,1),IF($C15&lt;=AX$4,1,0))-AX15+$B15+2))</f>
        <v>0</v>
      </c>
      <c r="AZ15" s="136"/>
      <c r="BA15" s="134">
        <f>IF(AZ15=0,0,MAX(0,IF(AZ$4&gt;18,IF($D15&lt;=AZ$4,2,1),IF($C15&lt;=AZ$4,1,0))-AZ15+$B15+2))</f>
        <v>0</v>
      </c>
      <c r="BB15" s="136"/>
      <c r="BC15" s="134">
        <f>IF(BB15=0,0,MAX(0,IF(BB$4&gt;18,IF($D15&lt;=BB$4,2,1),IF($C15&lt;=BB$4,1,0))-BB15+$B15+2))</f>
        <v>0</v>
      </c>
      <c r="BD15" s="136"/>
      <c r="BE15" s="134">
        <f>IF(BD15=0,0,MAX(0,IF(BD$4&gt;18,IF($D15&lt;=BD$4,2,1),IF($C15&lt;=BD$4,1,0))-BD15+$B15+2))</f>
        <v>0</v>
      </c>
      <c r="BF15" s="137"/>
      <c r="BG15" s="134">
        <f>IF(BF15=0,0,MAX(0,IF(BF$4&gt;18,IF($D15&lt;=BF$4,2,1),IF($C15&lt;=BF$4,1,0))-BF15+$B15+2))</f>
        <v>0</v>
      </c>
      <c r="BH15" s="136"/>
      <c r="BI15" s="134">
        <f>IF(BH15=0,0,MAX(0,IF(BH$4&gt;18,IF($D15&lt;=BH$4,2,1),IF($C15&lt;=BH$4,1,0))-BH15+$B15+2))</f>
        <v>0</v>
      </c>
      <c r="BJ15" s="136"/>
      <c r="BK15" s="134">
        <f>IF(BJ15=0,0,MAX(0,IF(BJ$4&gt;18,IF($D15&lt;=BJ$4,2,1),IF($C15&lt;=BJ$4,1,0))-BJ15+$B15+2))</f>
        <v>0</v>
      </c>
      <c r="BL15" s="136"/>
      <c r="BM15" s="134">
        <f>IF(BL15=0,0,MAX(0,IF(BL$4&gt;18,IF($D15&lt;=BL$4,2,1),IF($C15&lt;=BL$4,1,0))-BL15+$B15+2))</f>
        <v>0</v>
      </c>
      <c r="BN15" s="136"/>
      <c r="BO15" s="134">
        <f>IF(BN15=0,0,MAX(0,IF(BN$4&gt;18,IF($D15&lt;=BN$4,2,1),IF($C15&lt;=BN$4,1,0))-BN15+$B15+2))</f>
        <v>0</v>
      </c>
      <c r="BP15" s="136"/>
      <c r="BQ15" s="134">
        <f>IF(BP15=0,0,MAX(0,IF(BP$4&gt;18,IF($D15&lt;=BP$4,2,1),IF($C15&lt;=BP$4,1,0))-BP15+$B15+2))</f>
        <v>0</v>
      </c>
      <c r="BR15" s="136"/>
      <c r="BS15" s="134">
        <f>IF(BR15=0,0,MAX(0,IF(BR$4&gt;18,IF($D15&lt;=BR$4,2,1),IF($C15&lt;=BR$4,1,0))-BR15+$B15+2))</f>
        <v>0</v>
      </c>
      <c r="BT15" s="137"/>
      <c r="BU15" s="135">
        <f>IF(BT15=0,0,MAX(0,IF(BT$4&gt;18,IF($D15&lt;=BT$4,2,1),IF($C15&lt;=BT$4,1,0))-BT15+$B15+2))</f>
        <v>0</v>
      </c>
      <c r="BW15" s="88">
        <v>10</v>
      </c>
      <c r="BX15" s="2">
        <v>4</v>
      </c>
      <c r="BY15" s="100">
        <v>1</v>
      </c>
      <c r="BZ15" s="125">
        <f t="shared" ref="BZ15:BZ26" si="151">BY15+18</f>
        <v>19</v>
      </c>
      <c r="CA15" s="113"/>
      <c r="CB15" s="134">
        <f>IF(CA15=0,0,MAX(0,IF(CA$4&gt;18,IF($D15&lt;=CA$4,2,1),IF($C15&lt;=CA$4,1,0))-CA15+$B15+2))</f>
        <v>0</v>
      </c>
      <c r="CC15" s="136"/>
      <c r="CD15" s="134">
        <f>IF(CC15=0,0,MAX(0,IF(CC$4&gt;18,IF($D15&lt;=CC$4,2,1),IF($C15&lt;=CC$4,1,0))-CC15+$B15+2))</f>
        <v>0</v>
      </c>
      <c r="CE15" s="136"/>
      <c r="CF15" s="134">
        <f>IF(CE15=0,0,MAX(0,IF(CE$4&gt;18,IF($D15&lt;=CE$4,2,1),IF($C15&lt;=CE$4,1,0))-CE15+$B15+2))</f>
        <v>0</v>
      </c>
      <c r="CG15" s="136"/>
      <c r="CH15" s="134">
        <f>IF(CG15=0,0,MAX(0,IF(CG$4&gt;18,IF($D15&lt;=CG$4,2,1),IF($C15&lt;=CG$4,1,0))-CG15+$B15+2))</f>
        <v>0</v>
      </c>
      <c r="CI15" s="136"/>
      <c r="CJ15" s="134">
        <f>IF(CI15=0,0,MAX(0,IF(CI$4&gt;18,IF($D15&lt;=CI$4,2,1),IF($C15&lt;=CI$4,1,0))-CI15+$B15+2))</f>
        <v>0</v>
      </c>
      <c r="CK15" s="136"/>
      <c r="CL15" s="134">
        <f>IF(CK15=0,0,MAX(0,IF(CK$4&gt;18,IF($D15&lt;=CK$4,2,1),IF($C15&lt;=CK$4,1,0))-CK15+$B15+2))</f>
        <v>0</v>
      </c>
      <c r="CM15" s="136"/>
      <c r="CN15" s="134">
        <f>IF(CM15=0,0,MAX(0,IF(CM$4&gt;18,IF($D15&lt;=CM$4,2,1),IF($C15&lt;=CM$4,1,0))-CM15+$B15+2))</f>
        <v>0</v>
      </c>
      <c r="CO15" s="136"/>
      <c r="CP15" s="134">
        <f>IF(CO15=0,0,MAX(0,IF(CO$4&gt;18,IF($D15&lt;=CO$4,2,1),IF($C15&lt;=CO$4,1,0))-CO15+$B15+2))</f>
        <v>0</v>
      </c>
      <c r="CQ15" s="137"/>
      <c r="CR15" s="134">
        <f>IF(CQ15=0,0,MAX(0,IF(CQ$4&gt;18,IF($D15&lt;=CQ$4,2,1),IF($C15&lt;=CQ$4,1,0))-CQ15+$B15+2))</f>
        <v>0</v>
      </c>
      <c r="CS15" s="136"/>
      <c r="CT15" s="134">
        <f>IF(CS15=0,0,MAX(0,IF(CS$4&gt;18,IF($D15&lt;=CS$4,2,1),IF($C15&lt;=CS$4,1,0))-CS15+$B15+2))</f>
        <v>0</v>
      </c>
      <c r="CU15" s="136"/>
      <c r="CV15" s="134">
        <f>IF(CU15=0,0,MAX(0,IF(CU$4&gt;18,IF($D15&lt;=CU$4,2,1),IF($C15&lt;=CU$4,1,0))-CU15+$B15+2))</f>
        <v>0</v>
      </c>
      <c r="CW15" s="136"/>
      <c r="CX15" s="134">
        <f>IF(CW15=0,0,MAX(0,IF(CW$4&gt;18,IF($D15&lt;=CW$4,2,1),IF($C15&lt;=CW$4,1,0))-CW15+$B15+2))</f>
        <v>0</v>
      </c>
      <c r="CY15" s="136"/>
      <c r="CZ15" s="134">
        <f>IF(CY15=0,0,MAX(0,IF(CY$4&gt;18,IF($D15&lt;=CY$4,2,1),IF($C15&lt;=CY$4,1,0))-CY15+$B15+2))</f>
        <v>0</v>
      </c>
      <c r="DA15" s="136"/>
      <c r="DB15" s="134">
        <f>IF(DA15=0,0,MAX(0,IF(DA$4&gt;18,IF($D15&lt;=DA$4,2,1),IF($C15&lt;=DA$4,1,0))-DA15+$B15+2))</f>
        <v>0</v>
      </c>
      <c r="DC15" s="136"/>
      <c r="DD15" s="134">
        <f>IF(DC15=0,0,MAX(0,IF(DC$4&gt;18,IF($D15&lt;=DC$4,2,1),IF($C15&lt;=DC$4,1,0))-DC15+$B15+2))</f>
        <v>0</v>
      </c>
      <c r="DE15" s="137"/>
      <c r="DF15" s="135">
        <f>IF(DE15=0,0,MAX(0,IF(DE$4&gt;18,IF($D15&lt;=DE$4,2,1),IF($C15&lt;=DE$4,1,0))-DE15+$B15+2))</f>
        <v>0</v>
      </c>
      <c r="DH15" s="88">
        <v>10</v>
      </c>
      <c r="DI15" s="2">
        <v>4</v>
      </c>
      <c r="DJ15" s="100">
        <v>1</v>
      </c>
      <c r="DK15" s="125">
        <f t="shared" ref="DK15:DK26" si="152">DJ15+18</f>
        <v>19</v>
      </c>
      <c r="DL15" s="113"/>
      <c r="DM15" s="134">
        <f>IF(DL15=0,0,MAX(0,IF(DL$4&gt;18,IF($D15&lt;=DL$4,2,1),IF($C15&lt;=DL$4,1,0))-DL15+$B15+2))</f>
        <v>0</v>
      </c>
      <c r="DN15" s="136"/>
      <c r="DO15" s="134">
        <f>IF(DN15=0,0,MAX(0,IF(DN$4&gt;18,IF($D15&lt;=DN$4,2,1),IF($C15&lt;=DN$4,1,0))-DN15+$B15+2))</f>
        <v>0</v>
      </c>
      <c r="DP15" s="136"/>
      <c r="DQ15" s="134">
        <f>IF(DP15=0,0,MAX(0,IF(DP$4&gt;18,IF($D15&lt;=DP$4,2,1),IF($C15&lt;=DP$4,1,0))-DP15+$B15+2))</f>
        <v>0</v>
      </c>
      <c r="DR15" s="136"/>
      <c r="DS15" s="134">
        <f>IF(DR15=0,0,MAX(0,IF(DR$4&gt;18,IF($D15&lt;=DR$4,2,1),IF($C15&lt;=DR$4,1,0))-DR15+$B15+2))</f>
        <v>0</v>
      </c>
      <c r="DT15" s="136"/>
      <c r="DU15" s="134">
        <f>IF(DT15=0,0,MAX(0,IF(DT$4&gt;18,IF($D15&lt;=DT$4,2,1),IF($C15&lt;=DT$4,1,0))-DT15+$B15+2))</f>
        <v>0</v>
      </c>
      <c r="DV15" s="136"/>
      <c r="DW15" s="134">
        <f>IF(DV15=0,0,MAX(0,IF(DV$4&gt;18,IF($D15&lt;=DV$4,2,1),IF($C15&lt;=DV$4,1,0))-DV15+$B15+2))</f>
        <v>0</v>
      </c>
      <c r="DX15" s="136"/>
      <c r="DY15" s="134">
        <f>IF(DX15=0,0,MAX(0,IF(DX$4&gt;18,IF($D15&lt;=DX$4,2,1),IF($C15&lt;=DX$4,1,0))-DX15+$B15+2))</f>
        <v>0</v>
      </c>
      <c r="DZ15" s="136"/>
      <c r="EA15" s="134">
        <f>IF(DZ15=0,0,MAX(0,IF(DZ$4&gt;18,IF($D15&lt;=DZ$4,2,1),IF($C15&lt;=DZ$4,1,0))-DZ15+$B15+2))</f>
        <v>0</v>
      </c>
      <c r="EB15" s="137"/>
      <c r="EC15" s="134">
        <f>IF(EB15=0,0,MAX(0,IF(EB$4&gt;18,IF($D15&lt;=EB$4,2,1),IF($C15&lt;=EB$4,1,0))-EB15+$B15+2))</f>
        <v>0</v>
      </c>
      <c r="ED15" s="136"/>
      <c r="EE15" s="134">
        <f>IF(ED15=0,0,MAX(0,IF(ED$4&gt;18,IF($D15&lt;=ED$4,2,1),IF($C15&lt;=ED$4,1,0))-ED15+$B15+2))</f>
        <v>0</v>
      </c>
      <c r="EF15" s="136"/>
      <c r="EG15" s="134">
        <f>IF(EF15=0,0,MAX(0,IF(EF$4&gt;18,IF($D15&lt;=EF$4,2,1),IF($C15&lt;=EF$4,1,0))-EF15+$B15+2))</f>
        <v>0</v>
      </c>
      <c r="EH15" s="136"/>
      <c r="EI15" s="134">
        <f>IF(EH15=0,0,MAX(0,IF(EH$4&gt;18,IF($D15&lt;=EH$4,2,1),IF($C15&lt;=EH$4,1,0))-EH15+$B15+2))</f>
        <v>0</v>
      </c>
      <c r="EJ15" s="136"/>
      <c r="EK15" s="134">
        <f>IF(EJ15=0,0,MAX(0,IF(EJ$4&gt;18,IF($D15&lt;=EJ$4,2,1),IF($C15&lt;=EJ$4,1,0))-EJ15+$B15+2))</f>
        <v>0</v>
      </c>
      <c r="EL15" s="136"/>
      <c r="EM15" s="134">
        <f>IF(EL15=0,0,MAX(0,IF(EL$4&gt;18,IF($D15&lt;=EL$4,2,1),IF($C15&lt;=EL$4,1,0))-EL15+$B15+2))</f>
        <v>0</v>
      </c>
      <c r="EN15" s="136"/>
      <c r="EO15" s="134">
        <f>IF(EN15=0,0,MAX(0,IF(EN$4&gt;18,IF($D15&lt;=EN$4,2,1),IF($C15&lt;=EN$4,1,0))-EN15+$B15+2))</f>
        <v>0</v>
      </c>
      <c r="EP15" s="137"/>
      <c r="EQ15" s="135">
        <f>IF(EP15=0,0,MAX(0,IF(EP$4&gt;18,IF($D15&lt;=EP$4,2,1),IF($C15&lt;=EP$4,1,0))-EP15+$B15+2))</f>
        <v>0</v>
      </c>
      <c r="ES15" s="88">
        <v>10</v>
      </c>
      <c r="ET15" s="2">
        <v>4</v>
      </c>
      <c r="EU15" s="100">
        <v>1</v>
      </c>
      <c r="EV15" s="125">
        <f t="shared" ref="EV15:EV26" si="153">EU15+18</f>
        <v>19</v>
      </c>
      <c r="EW15" s="113"/>
      <c r="EX15" s="134">
        <f>IF(EW15=0,0,MAX(0,IF(EW$4&gt;18,IF($D15&lt;=EW$4,2,1),IF($C15&lt;=EW$4,1,0))-EW15+$B15+2))</f>
        <v>0</v>
      </c>
      <c r="EY15" s="136"/>
      <c r="EZ15" s="134">
        <f>IF(EY15=0,0,MAX(0,IF(EY$4&gt;18,IF($D15&lt;=EY$4,2,1),IF($C15&lt;=EY$4,1,0))-EY15+$B15+2))</f>
        <v>0</v>
      </c>
      <c r="FA15" s="136"/>
      <c r="FB15" s="134">
        <f>IF(FA15=0,0,MAX(0,IF(FA$4&gt;18,IF($D15&lt;=FA$4,2,1),IF($C15&lt;=FA$4,1,0))-FA15+$B15+2))</f>
        <v>0</v>
      </c>
      <c r="FC15" s="136"/>
      <c r="FD15" s="134">
        <f>IF(FC15=0,0,MAX(0,IF(FC$4&gt;18,IF($D15&lt;=FC$4,2,1),IF($C15&lt;=FC$4,1,0))-FC15+$B15+2))</f>
        <v>0</v>
      </c>
      <c r="FE15" s="136"/>
      <c r="FF15" s="134">
        <f>IF(FE15=0,0,MAX(0,IF(FE$4&gt;18,IF($D15&lt;=FE$4,2,1),IF($C15&lt;=FE$4,1,0))-FE15+$B15+2))</f>
        <v>0</v>
      </c>
      <c r="FG15" s="136"/>
      <c r="FH15" s="134">
        <f>IF(FG15=0,0,MAX(0,IF(FG$4&gt;18,IF($D15&lt;=FG$4,2,1),IF($C15&lt;=FG$4,1,0))-FG15+$B15+2))</f>
        <v>0</v>
      </c>
      <c r="FI15" s="136"/>
      <c r="FJ15" s="134">
        <f>IF(FI15=0,0,MAX(0,IF(FI$4&gt;18,IF($D15&lt;=FI$4,2,1),IF($C15&lt;=FI$4,1,0))-FI15+$B15+2))</f>
        <v>0</v>
      </c>
      <c r="FK15" s="136"/>
      <c r="FL15" s="134">
        <f>IF(FK15=0,0,MAX(0,IF(FK$4&gt;18,IF($D15&lt;=FK$4,2,1),IF($C15&lt;=FK$4,1,0))-FK15+$B15+2))</f>
        <v>0</v>
      </c>
      <c r="FM15" s="137"/>
      <c r="FN15" s="134">
        <f>IF(FM15=0,0,MAX(0,IF(FM$4&gt;18,IF($D15&lt;=FM$4,2,1),IF($C15&lt;=FM$4,1,0))-FM15+$B15+2))</f>
        <v>0</v>
      </c>
      <c r="FO15" s="136"/>
      <c r="FP15" s="134">
        <f>IF(FO15=0,0,MAX(0,IF(FO$4&gt;18,IF($D15&lt;=FO$4,2,1),IF($C15&lt;=FO$4,1,0))-FO15+$B15+2))</f>
        <v>0</v>
      </c>
      <c r="FQ15" s="136"/>
      <c r="FR15" s="134">
        <f>IF(FQ15=0,0,MAX(0,IF(FQ$4&gt;18,IF($D15&lt;=FQ$4,2,1),IF($C15&lt;=FQ$4,1,0))-FQ15+$B15+2))</f>
        <v>0</v>
      </c>
      <c r="FS15" s="136"/>
      <c r="FT15" s="134">
        <f>IF(FS15=0,0,MAX(0,IF(FS$4&gt;18,IF($D15&lt;=FS$4,2,1),IF($C15&lt;=FS$4,1,0))-FS15+$B15+2))</f>
        <v>0</v>
      </c>
      <c r="FU15" s="136"/>
      <c r="FV15" s="134">
        <f>IF(FU15=0,0,MAX(0,IF(FU$4&gt;18,IF($D15&lt;=FU$4,2,1),IF($C15&lt;=FU$4,1,0))-FU15+$B15+2))</f>
        <v>0</v>
      </c>
      <c r="FW15" s="136"/>
      <c r="FX15" s="134">
        <f>IF(FW15=0,0,MAX(0,IF(FW$4&gt;18,IF($D15&lt;=FW$4,2,1),IF($C15&lt;=FW$4,1,0))-FW15+$B15+2))</f>
        <v>0</v>
      </c>
      <c r="FY15" s="136"/>
      <c r="FZ15" s="134">
        <f>IF(FY15=0,0,MAX(0,IF(FY$4&gt;18,IF($D15&lt;=FY$4,2,1),IF($C15&lt;=FY$4,1,0))-FY15+$B15+2))</f>
        <v>0</v>
      </c>
      <c r="GA15" s="137"/>
      <c r="GB15" s="135">
        <f>IF(GA15=0,0,MAX(0,IF(GA$4&gt;18,IF($D15&lt;=GA$4,2,1),IF($C15&lt;=GA$4,1,0))-GA15+$B15+2))</f>
        <v>0</v>
      </c>
    </row>
    <row r="16" spans="1:184">
      <c r="A16" s="88">
        <v>11</v>
      </c>
      <c r="B16" s="2">
        <v>3</v>
      </c>
      <c r="C16" s="100">
        <v>14</v>
      </c>
      <c r="D16" s="125">
        <f t="shared" si="0"/>
        <v>32</v>
      </c>
      <c r="E16" s="113"/>
      <c r="F16" s="134">
        <f t="shared" ref="F16:F23" si="154">IF(E16=0,0,MAX(0,IF(E$4&gt;18,IF($D16&lt;=E$4,2,1),IF($C16&lt;=E$4,1,0))-E16+$B16+2))</f>
        <v>0</v>
      </c>
      <c r="G16" s="136"/>
      <c r="H16" s="134">
        <f t="shared" ref="H16:H23" si="155">IF(G16=0,0,MAX(0,IF(G$4&gt;18,IF($D16&lt;=G$4,2,1),IF($C16&lt;=G$4,1,0))-G16+$B16+2))</f>
        <v>0</v>
      </c>
      <c r="I16" s="136"/>
      <c r="J16" s="134">
        <f t="shared" ref="J16:J23" si="156">IF(I16=0,0,MAX(0,IF(I$4&gt;18,IF($D16&lt;=I$4,2,1),IF($C16&lt;=I$4,1,0))-I16+$B16+2))</f>
        <v>0</v>
      </c>
      <c r="K16" s="136"/>
      <c r="L16" s="134">
        <f t="shared" ref="L16:L23" si="157">IF(K16=0,0,MAX(0,IF(K$4&gt;18,IF($D16&lt;=K$4,2,1),IF($C16&lt;=K$4,1,0))-K16+$B16+2))</f>
        <v>0</v>
      </c>
      <c r="M16" s="136"/>
      <c r="N16" s="134">
        <f t="shared" ref="N16:N23" si="158">IF(M16=0,0,MAX(0,IF(M$4&gt;18,IF($D16&lt;=M$4,2,1),IF($C16&lt;=M$4,1,0))-M16+$B16+2))</f>
        <v>0</v>
      </c>
      <c r="O16" s="136"/>
      <c r="P16" s="134">
        <f t="shared" ref="P16:P23" si="159">IF(O16=0,0,MAX(0,IF(O$4&gt;18,IF($D16&lt;=O$4,2,1),IF($C16&lt;=O$4,1,0))-O16+$B16+2))</f>
        <v>0</v>
      </c>
      <c r="Q16" s="136"/>
      <c r="R16" s="134">
        <f t="shared" ref="R16:R23" si="160">IF(Q16=0,0,MAX(0,IF(Q$4&gt;18,IF($D16&lt;=Q$4,2,1),IF($C16&lt;=Q$4,1,0))-Q16+$B16+2))</f>
        <v>0</v>
      </c>
      <c r="S16" s="136"/>
      <c r="T16" s="134">
        <f t="shared" ref="T16:T23" si="161">IF(S16=0,0,MAX(0,IF(S$4&gt;18,IF($D16&lt;=S$4,2,1),IF($C16&lt;=S$4,1,0))-S16+$B16+2))</f>
        <v>0</v>
      </c>
      <c r="U16" s="137"/>
      <c r="V16" s="134">
        <f t="shared" ref="V16:V23" si="162">IF(U16=0,0,MAX(0,IF(U$4&gt;18,IF($D16&lt;=U$4,2,1),IF($C16&lt;=U$4,1,0))-U16+$B16+2))</f>
        <v>0</v>
      </c>
      <c r="W16" s="136"/>
      <c r="X16" s="134">
        <f t="shared" ref="X16" si="163">IF(W16=0,0,MAX(0,IF(W$4&gt;18,IF($D16&lt;=W$4,2,1),IF($C16&lt;=W$4,1,0))-W16+$B16+2))</f>
        <v>0</v>
      </c>
      <c r="Y16" s="136"/>
      <c r="Z16" s="134">
        <f t="shared" ref="Z16" si="164">IF(Y16=0,0,MAX(0,IF(Y$4&gt;18,IF($D16&lt;=Y$4,2,1),IF($C16&lt;=Y$4,1,0))-Y16+$B16+2))</f>
        <v>0</v>
      </c>
      <c r="AA16" s="136"/>
      <c r="AB16" s="134">
        <f t="shared" ref="AB16" si="165">IF(AA16=0,0,MAX(0,IF(AA$4&gt;18,IF($D16&lt;=AA$4,2,1),IF($C16&lt;=AA$4,1,0))-AA16+$B16+2))</f>
        <v>0</v>
      </c>
      <c r="AC16" s="136"/>
      <c r="AD16" s="134">
        <f t="shared" ref="AD16" si="166">IF(AC16=0,0,MAX(0,IF(AC$4&gt;18,IF($D16&lt;=AC$4,2,1),IF($C16&lt;=AC$4,1,0))-AC16+$B16+2))</f>
        <v>0</v>
      </c>
      <c r="AE16" s="136"/>
      <c r="AF16" s="134">
        <f t="shared" ref="AF16" si="167">IF(AE16=0,0,MAX(0,IF(AE$4&gt;18,IF($D16&lt;=AE$4,2,1),IF($C16&lt;=AE$4,1,0))-AE16+$B16+2))</f>
        <v>0</v>
      </c>
      <c r="AG16" s="136"/>
      <c r="AH16" s="134">
        <f t="shared" ref="AH16:AJ16" si="168">IF(AG16=0,0,MAX(0,IF(AG$4&gt;18,IF($D16&lt;=AG$4,2,1),IF($C16&lt;=AG$4,1,0))-AG16+$B16+2))</f>
        <v>0</v>
      </c>
      <c r="AI16" s="137"/>
      <c r="AJ16" s="135">
        <f t="shared" si="168"/>
        <v>0</v>
      </c>
      <c r="AL16" s="88">
        <v>11</v>
      </c>
      <c r="AM16" s="2">
        <v>3</v>
      </c>
      <c r="AN16" s="100">
        <v>14</v>
      </c>
      <c r="AO16" s="125">
        <f t="shared" si="150"/>
        <v>32</v>
      </c>
      <c r="AP16" s="113"/>
      <c r="AQ16" s="134">
        <f t="shared" ref="AQ16:AQ23" si="169">IF(AP16=0,0,MAX(0,IF(AP$4&gt;18,IF($D16&lt;=AP$4,2,1),IF($C16&lt;=AP$4,1,0))-AP16+$B16+2))</f>
        <v>0</v>
      </c>
      <c r="AR16" s="136"/>
      <c r="AS16" s="134">
        <f t="shared" ref="AS16:AS23" si="170">IF(AR16=0,0,MAX(0,IF(AR$4&gt;18,IF($D16&lt;=AR$4,2,1),IF($C16&lt;=AR$4,1,0))-AR16+$B16+2))</f>
        <v>0</v>
      </c>
      <c r="AT16" s="136"/>
      <c r="AU16" s="134">
        <f t="shared" ref="AU16:AU23" si="171">IF(AT16=0,0,MAX(0,IF(AT$4&gt;18,IF($D16&lt;=AT$4,2,1),IF($C16&lt;=AT$4,1,0))-AT16+$B16+2))</f>
        <v>0</v>
      </c>
      <c r="AV16" s="136"/>
      <c r="AW16" s="134">
        <f t="shared" ref="AW16:AW23" si="172">IF(AV16=0,0,MAX(0,IF(AV$4&gt;18,IF($D16&lt;=AV$4,2,1),IF($C16&lt;=AV$4,1,0))-AV16+$B16+2))</f>
        <v>0</v>
      </c>
      <c r="AX16" s="136"/>
      <c r="AY16" s="134">
        <f t="shared" ref="AY16:AY23" si="173">IF(AX16=0,0,MAX(0,IF(AX$4&gt;18,IF($D16&lt;=AX$4,2,1),IF($C16&lt;=AX$4,1,0))-AX16+$B16+2))</f>
        <v>0</v>
      </c>
      <c r="AZ16" s="136"/>
      <c r="BA16" s="134">
        <f t="shared" ref="BA16:BA23" si="174">IF(AZ16=0,0,MAX(0,IF(AZ$4&gt;18,IF($D16&lt;=AZ$4,2,1),IF($C16&lt;=AZ$4,1,0))-AZ16+$B16+2))</f>
        <v>0</v>
      </c>
      <c r="BB16" s="136"/>
      <c r="BC16" s="134">
        <f t="shared" ref="BC16:BC23" si="175">IF(BB16=0,0,MAX(0,IF(BB$4&gt;18,IF($D16&lt;=BB$4,2,1),IF($C16&lt;=BB$4,1,0))-BB16+$B16+2))</f>
        <v>0</v>
      </c>
      <c r="BD16" s="136"/>
      <c r="BE16" s="134">
        <f t="shared" ref="BE16:BE23" si="176">IF(BD16=0,0,MAX(0,IF(BD$4&gt;18,IF($D16&lt;=BD$4,2,1),IF($C16&lt;=BD$4,1,0))-BD16+$B16+2))</f>
        <v>0</v>
      </c>
      <c r="BF16" s="137"/>
      <c r="BG16" s="134">
        <f t="shared" ref="BG16:BG23" si="177">IF(BF16=0,0,MAX(0,IF(BF$4&gt;18,IF($D16&lt;=BF$4,2,1),IF($C16&lt;=BF$4,1,0))-BF16+$B16+2))</f>
        <v>0</v>
      </c>
      <c r="BH16" s="136"/>
      <c r="BI16" s="134">
        <f t="shared" ref="BI16:BI23" si="178">IF(BH16=0,0,MAX(0,IF(BH$4&gt;18,IF($D16&lt;=BH$4,2,1),IF($C16&lt;=BH$4,1,0))-BH16+$B16+2))</f>
        <v>0</v>
      </c>
      <c r="BJ16" s="136"/>
      <c r="BK16" s="134">
        <f t="shared" ref="BK16:BK23" si="179">IF(BJ16=0,0,MAX(0,IF(BJ$4&gt;18,IF($D16&lt;=BJ$4,2,1),IF($C16&lt;=BJ$4,1,0))-BJ16+$B16+2))</f>
        <v>0</v>
      </c>
      <c r="BL16" s="136"/>
      <c r="BM16" s="134">
        <f t="shared" ref="BM16:BM23" si="180">IF(BL16=0,0,MAX(0,IF(BL$4&gt;18,IF($D16&lt;=BL$4,2,1),IF($C16&lt;=BL$4,1,0))-BL16+$B16+2))</f>
        <v>0</v>
      </c>
      <c r="BN16" s="136"/>
      <c r="BO16" s="134">
        <f t="shared" ref="BO16:BO23" si="181">IF(BN16=0,0,MAX(0,IF(BN$4&gt;18,IF($D16&lt;=BN$4,2,1),IF($C16&lt;=BN$4,1,0))-BN16+$B16+2))</f>
        <v>0</v>
      </c>
      <c r="BP16" s="136"/>
      <c r="BQ16" s="134">
        <f t="shared" ref="BQ16:BQ23" si="182">IF(BP16=0,0,MAX(0,IF(BP$4&gt;18,IF($D16&lt;=BP$4,2,1),IF($C16&lt;=BP$4,1,0))-BP16+$B16+2))</f>
        <v>0</v>
      </c>
      <c r="BR16" s="136"/>
      <c r="BS16" s="134">
        <f t="shared" ref="BS16:BS23" si="183">IF(BR16=0,0,MAX(0,IF(BR$4&gt;18,IF($D16&lt;=BR$4,2,1),IF($C16&lt;=BR$4,1,0))-BR16+$B16+2))</f>
        <v>0</v>
      </c>
      <c r="BT16" s="137"/>
      <c r="BU16" s="135">
        <f t="shared" ref="BU16:BU23" si="184">IF(BT16=0,0,MAX(0,IF(BT$4&gt;18,IF($D16&lt;=BT$4,2,1),IF($C16&lt;=BT$4,1,0))-BT16+$B16+2))</f>
        <v>0</v>
      </c>
      <c r="BW16" s="88">
        <v>11</v>
      </c>
      <c r="BX16" s="2">
        <v>3</v>
      </c>
      <c r="BY16" s="100">
        <v>14</v>
      </c>
      <c r="BZ16" s="125">
        <f t="shared" si="151"/>
        <v>32</v>
      </c>
      <c r="CA16" s="113"/>
      <c r="CB16" s="134">
        <f t="shared" ref="CB16:CB23" si="185">IF(CA16=0,0,MAX(0,IF(CA$4&gt;18,IF($D16&lt;=CA$4,2,1),IF($C16&lt;=CA$4,1,0))-CA16+$B16+2))</f>
        <v>0</v>
      </c>
      <c r="CC16" s="136"/>
      <c r="CD16" s="134">
        <f t="shared" ref="CD16:CD23" si="186">IF(CC16=0,0,MAX(0,IF(CC$4&gt;18,IF($D16&lt;=CC$4,2,1),IF($C16&lt;=CC$4,1,0))-CC16+$B16+2))</f>
        <v>0</v>
      </c>
      <c r="CE16" s="136"/>
      <c r="CF16" s="134">
        <f t="shared" ref="CF16:CF23" si="187">IF(CE16=0,0,MAX(0,IF(CE$4&gt;18,IF($D16&lt;=CE$4,2,1),IF($C16&lt;=CE$4,1,0))-CE16+$B16+2))</f>
        <v>0</v>
      </c>
      <c r="CG16" s="136"/>
      <c r="CH16" s="134">
        <f t="shared" ref="CH16:CH23" si="188">IF(CG16=0,0,MAX(0,IF(CG$4&gt;18,IF($D16&lt;=CG$4,2,1),IF($C16&lt;=CG$4,1,0))-CG16+$B16+2))</f>
        <v>0</v>
      </c>
      <c r="CI16" s="136"/>
      <c r="CJ16" s="134">
        <f t="shared" ref="CJ16:CJ23" si="189">IF(CI16=0,0,MAX(0,IF(CI$4&gt;18,IF($D16&lt;=CI$4,2,1),IF($C16&lt;=CI$4,1,0))-CI16+$B16+2))</f>
        <v>0</v>
      </c>
      <c r="CK16" s="136"/>
      <c r="CL16" s="134">
        <f t="shared" ref="CL16:CL23" si="190">IF(CK16=0,0,MAX(0,IF(CK$4&gt;18,IF($D16&lt;=CK$4,2,1),IF($C16&lt;=CK$4,1,0))-CK16+$B16+2))</f>
        <v>0</v>
      </c>
      <c r="CM16" s="136"/>
      <c r="CN16" s="134">
        <f t="shared" ref="CN16:CN23" si="191">IF(CM16=0,0,MAX(0,IF(CM$4&gt;18,IF($D16&lt;=CM$4,2,1),IF($C16&lt;=CM$4,1,0))-CM16+$B16+2))</f>
        <v>0</v>
      </c>
      <c r="CO16" s="136"/>
      <c r="CP16" s="134">
        <f t="shared" ref="CP16:CP23" si="192">IF(CO16=0,0,MAX(0,IF(CO$4&gt;18,IF($D16&lt;=CO$4,2,1),IF($C16&lt;=CO$4,1,0))-CO16+$B16+2))</f>
        <v>0</v>
      </c>
      <c r="CQ16" s="137"/>
      <c r="CR16" s="134">
        <f t="shared" ref="CR16:CR23" si="193">IF(CQ16=0,0,MAX(0,IF(CQ$4&gt;18,IF($D16&lt;=CQ$4,2,1),IF($C16&lt;=CQ$4,1,0))-CQ16+$B16+2))</f>
        <v>0</v>
      </c>
      <c r="CS16" s="136"/>
      <c r="CT16" s="134">
        <f t="shared" ref="CT16:CT23" si="194">IF(CS16=0,0,MAX(0,IF(CS$4&gt;18,IF($D16&lt;=CS$4,2,1),IF($C16&lt;=CS$4,1,0))-CS16+$B16+2))</f>
        <v>0</v>
      </c>
      <c r="CU16" s="136"/>
      <c r="CV16" s="134">
        <f t="shared" ref="CV16:CV23" si="195">IF(CU16=0,0,MAX(0,IF(CU$4&gt;18,IF($D16&lt;=CU$4,2,1),IF($C16&lt;=CU$4,1,0))-CU16+$B16+2))</f>
        <v>0</v>
      </c>
      <c r="CW16" s="136"/>
      <c r="CX16" s="134">
        <f t="shared" ref="CX16:CX23" si="196">IF(CW16=0,0,MAX(0,IF(CW$4&gt;18,IF($D16&lt;=CW$4,2,1),IF($C16&lt;=CW$4,1,0))-CW16+$B16+2))</f>
        <v>0</v>
      </c>
      <c r="CY16" s="136"/>
      <c r="CZ16" s="134">
        <f t="shared" ref="CZ16:CZ23" si="197">IF(CY16=0,0,MAX(0,IF(CY$4&gt;18,IF($D16&lt;=CY$4,2,1),IF($C16&lt;=CY$4,1,0))-CY16+$B16+2))</f>
        <v>0</v>
      </c>
      <c r="DA16" s="136"/>
      <c r="DB16" s="134">
        <f t="shared" ref="DB16:DB23" si="198">IF(DA16=0,0,MAX(0,IF(DA$4&gt;18,IF($D16&lt;=DA$4,2,1),IF($C16&lt;=DA$4,1,0))-DA16+$B16+2))</f>
        <v>0</v>
      </c>
      <c r="DC16" s="136"/>
      <c r="DD16" s="134">
        <f t="shared" ref="DD16:DD23" si="199">IF(DC16=0,0,MAX(0,IF(DC$4&gt;18,IF($D16&lt;=DC$4,2,1),IF($C16&lt;=DC$4,1,0))-DC16+$B16+2))</f>
        <v>0</v>
      </c>
      <c r="DE16" s="137"/>
      <c r="DF16" s="135">
        <f t="shared" ref="DF16:DF23" si="200">IF(DE16=0,0,MAX(0,IF(DE$4&gt;18,IF($D16&lt;=DE$4,2,1),IF($C16&lt;=DE$4,1,0))-DE16+$B16+2))</f>
        <v>0</v>
      </c>
      <c r="DH16" s="88">
        <v>11</v>
      </c>
      <c r="DI16" s="2">
        <v>3</v>
      </c>
      <c r="DJ16" s="100">
        <v>14</v>
      </c>
      <c r="DK16" s="125">
        <f t="shared" si="152"/>
        <v>32</v>
      </c>
      <c r="DL16" s="113"/>
      <c r="DM16" s="134">
        <f t="shared" ref="DM16:DM23" si="201">IF(DL16=0,0,MAX(0,IF(DL$4&gt;18,IF($D16&lt;=DL$4,2,1),IF($C16&lt;=DL$4,1,0))-DL16+$B16+2))</f>
        <v>0</v>
      </c>
      <c r="DN16" s="136"/>
      <c r="DO16" s="134">
        <f t="shared" ref="DO16:DO23" si="202">IF(DN16=0,0,MAX(0,IF(DN$4&gt;18,IF($D16&lt;=DN$4,2,1),IF($C16&lt;=DN$4,1,0))-DN16+$B16+2))</f>
        <v>0</v>
      </c>
      <c r="DP16" s="136"/>
      <c r="DQ16" s="134">
        <f t="shared" ref="DQ16:DQ23" si="203">IF(DP16=0,0,MAX(0,IF(DP$4&gt;18,IF($D16&lt;=DP$4,2,1),IF($C16&lt;=DP$4,1,0))-DP16+$B16+2))</f>
        <v>0</v>
      </c>
      <c r="DR16" s="136"/>
      <c r="DS16" s="134">
        <f t="shared" ref="DS16:DS23" si="204">IF(DR16=0,0,MAX(0,IF(DR$4&gt;18,IF($D16&lt;=DR$4,2,1),IF($C16&lt;=DR$4,1,0))-DR16+$B16+2))</f>
        <v>0</v>
      </c>
      <c r="DT16" s="136"/>
      <c r="DU16" s="134">
        <f t="shared" ref="DU16:DU23" si="205">IF(DT16=0,0,MAX(0,IF(DT$4&gt;18,IF($D16&lt;=DT$4,2,1),IF($C16&lt;=DT$4,1,0))-DT16+$B16+2))</f>
        <v>0</v>
      </c>
      <c r="DV16" s="136"/>
      <c r="DW16" s="134">
        <f t="shared" ref="DW16:DW23" si="206">IF(DV16=0,0,MAX(0,IF(DV$4&gt;18,IF($D16&lt;=DV$4,2,1),IF($C16&lt;=DV$4,1,0))-DV16+$B16+2))</f>
        <v>0</v>
      </c>
      <c r="DX16" s="136"/>
      <c r="DY16" s="134">
        <f t="shared" ref="DY16:DY23" si="207">IF(DX16=0,0,MAX(0,IF(DX$4&gt;18,IF($D16&lt;=DX$4,2,1),IF($C16&lt;=DX$4,1,0))-DX16+$B16+2))</f>
        <v>0</v>
      </c>
      <c r="DZ16" s="136"/>
      <c r="EA16" s="134">
        <f t="shared" ref="EA16:EA23" si="208">IF(DZ16=0,0,MAX(0,IF(DZ$4&gt;18,IF($D16&lt;=DZ$4,2,1),IF($C16&lt;=DZ$4,1,0))-DZ16+$B16+2))</f>
        <v>0</v>
      </c>
      <c r="EB16" s="137"/>
      <c r="EC16" s="134">
        <f t="shared" ref="EC16:EC23" si="209">IF(EB16=0,0,MAX(0,IF(EB$4&gt;18,IF($D16&lt;=EB$4,2,1),IF($C16&lt;=EB$4,1,0))-EB16+$B16+2))</f>
        <v>0</v>
      </c>
      <c r="ED16" s="136"/>
      <c r="EE16" s="134">
        <f t="shared" ref="EE16:EE23" si="210">IF(ED16=0,0,MAX(0,IF(ED$4&gt;18,IF($D16&lt;=ED$4,2,1),IF($C16&lt;=ED$4,1,0))-ED16+$B16+2))</f>
        <v>0</v>
      </c>
      <c r="EF16" s="136"/>
      <c r="EG16" s="134">
        <f t="shared" ref="EG16:EG23" si="211">IF(EF16=0,0,MAX(0,IF(EF$4&gt;18,IF($D16&lt;=EF$4,2,1),IF($C16&lt;=EF$4,1,0))-EF16+$B16+2))</f>
        <v>0</v>
      </c>
      <c r="EH16" s="136"/>
      <c r="EI16" s="134">
        <f t="shared" ref="EI16:EI23" si="212">IF(EH16=0,0,MAX(0,IF(EH$4&gt;18,IF($D16&lt;=EH$4,2,1),IF($C16&lt;=EH$4,1,0))-EH16+$B16+2))</f>
        <v>0</v>
      </c>
      <c r="EJ16" s="136"/>
      <c r="EK16" s="134">
        <f t="shared" ref="EK16:EK23" si="213">IF(EJ16=0,0,MAX(0,IF(EJ$4&gt;18,IF($D16&lt;=EJ$4,2,1),IF($C16&lt;=EJ$4,1,0))-EJ16+$B16+2))</f>
        <v>0</v>
      </c>
      <c r="EL16" s="136"/>
      <c r="EM16" s="134">
        <f t="shared" ref="EM16:EM23" si="214">IF(EL16=0,0,MAX(0,IF(EL$4&gt;18,IF($D16&lt;=EL$4,2,1),IF($C16&lt;=EL$4,1,0))-EL16+$B16+2))</f>
        <v>0</v>
      </c>
      <c r="EN16" s="136"/>
      <c r="EO16" s="134">
        <f t="shared" ref="EO16:EO23" si="215">IF(EN16=0,0,MAX(0,IF(EN$4&gt;18,IF($D16&lt;=EN$4,2,1),IF($C16&lt;=EN$4,1,0))-EN16+$B16+2))</f>
        <v>0</v>
      </c>
      <c r="EP16" s="137"/>
      <c r="EQ16" s="135">
        <f t="shared" ref="EQ16:EQ23" si="216">IF(EP16=0,0,MAX(0,IF(EP$4&gt;18,IF($D16&lt;=EP$4,2,1),IF($C16&lt;=EP$4,1,0))-EP16+$B16+2))</f>
        <v>0</v>
      </c>
      <c r="ES16" s="88">
        <v>11</v>
      </c>
      <c r="ET16" s="2">
        <v>3</v>
      </c>
      <c r="EU16" s="100">
        <v>14</v>
      </c>
      <c r="EV16" s="125">
        <f t="shared" si="153"/>
        <v>32</v>
      </c>
      <c r="EW16" s="113"/>
      <c r="EX16" s="134">
        <f t="shared" ref="EX16:EX23" si="217">IF(EW16=0,0,MAX(0,IF(EW$4&gt;18,IF($D16&lt;=EW$4,2,1),IF($C16&lt;=EW$4,1,0))-EW16+$B16+2))</f>
        <v>0</v>
      </c>
      <c r="EY16" s="136"/>
      <c r="EZ16" s="134">
        <f t="shared" ref="EZ16:EZ23" si="218">IF(EY16=0,0,MAX(0,IF(EY$4&gt;18,IF($D16&lt;=EY$4,2,1),IF($C16&lt;=EY$4,1,0))-EY16+$B16+2))</f>
        <v>0</v>
      </c>
      <c r="FA16" s="136"/>
      <c r="FB16" s="134">
        <f t="shared" ref="FB16:FB23" si="219">IF(FA16=0,0,MAX(0,IF(FA$4&gt;18,IF($D16&lt;=FA$4,2,1),IF($C16&lt;=FA$4,1,0))-FA16+$B16+2))</f>
        <v>0</v>
      </c>
      <c r="FC16" s="136"/>
      <c r="FD16" s="134">
        <f t="shared" ref="FD16:FD23" si="220">IF(FC16=0,0,MAX(0,IF(FC$4&gt;18,IF($D16&lt;=FC$4,2,1),IF($C16&lt;=FC$4,1,0))-FC16+$B16+2))</f>
        <v>0</v>
      </c>
      <c r="FE16" s="136"/>
      <c r="FF16" s="134">
        <f t="shared" ref="FF16:FF23" si="221">IF(FE16=0,0,MAX(0,IF(FE$4&gt;18,IF($D16&lt;=FE$4,2,1),IF($C16&lt;=FE$4,1,0))-FE16+$B16+2))</f>
        <v>0</v>
      </c>
      <c r="FG16" s="136"/>
      <c r="FH16" s="134">
        <f t="shared" ref="FH16:FH23" si="222">IF(FG16=0,0,MAX(0,IF(FG$4&gt;18,IF($D16&lt;=FG$4,2,1),IF($C16&lt;=FG$4,1,0))-FG16+$B16+2))</f>
        <v>0</v>
      </c>
      <c r="FI16" s="136"/>
      <c r="FJ16" s="134">
        <f t="shared" ref="FJ16:FJ23" si="223">IF(FI16=0,0,MAX(0,IF(FI$4&gt;18,IF($D16&lt;=FI$4,2,1),IF($C16&lt;=FI$4,1,0))-FI16+$B16+2))</f>
        <v>0</v>
      </c>
      <c r="FK16" s="136"/>
      <c r="FL16" s="134">
        <f t="shared" ref="FL16:FL23" si="224">IF(FK16=0,0,MAX(0,IF(FK$4&gt;18,IF($D16&lt;=FK$4,2,1),IF($C16&lt;=FK$4,1,0))-FK16+$B16+2))</f>
        <v>0</v>
      </c>
      <c r="FM16" s="137"/>
      <c r="FN16" s="134">
        <f t="shared" ref="FN16:FN23" si="225">IF(FM16=0,0,MAX(0,IF(FM$4&gt;18,IF($D16&lt;=FM$4,2,1),IF($C16&lt;=FM$4,1,0))-FM16+$B16+2))</f>
        <v>0</v>
      </c>
      <c r="FO16" s="136"/>
      <c r="FP16" s="134">
        <f t="shared" ref="FP16:FP23" si="226">IF(FO16=0,0,MAX(0,IF(FO$4&gt;18,IF($D16&lt;=FO$4,2,1),IF($C16&lt;=FO$4,1,0))-FO16+$B16+2))</f>
        <v>0</v>
      </c>
      <c r="FQ16" s="136"/>
      <c r="FR16" s="134">
        <f t="shared" ref="FR16:FR23" si="227">IF(FQ16=0,0,MAX(0,IF(FQ$4&gt;18,IF($D16&lt;=FQ$4,2,1),IF($C16&lt;=FQ$4,1,0))-FQ16+$B16+2))</f>
        <v>0</v>
      </c>
      <c r="FS16" s="136"/>
      <c r="FT16" s="134">
        <f t="shared" ref="FT16:FT23" si="228">IF(FS16=0,0,MAX(0,IF(FS$4&gt;18,IF($D16&lt;=FS$4,2,1),IF($C16&lt;=FS$4,1,0))-FS16+$B16+2))</f>
        <v>0</v>
      </c>
      <c r="FU16" s="136"/>
      <c r="FV16" s="134">
        <f t="shared" ref="FV16:FV23" si="229">IF(FU16=0,0,MAX(0,IF(FU$4&gt;18,IF($D16&lt;=FU$4,2,1),IF($C16&lt;=FU$4,1,0))-FU16+$B16+2))</f>
        <v>0</v>
      </c>
      <c r="FW16" s="136"/>
      <c r="FX16" s="134">
        <f t="shared" ref="FX16:FX23" si="230">IF(FW16=0,0,MAX(0,IF(FW$4&gt;18,IF($D16&lt;=FW$4,2,1),IF($C16&lt;=FW$4,1,0))-FW16+$B16+2))</f>
        <v>0</v>
      </c>
      <c r="FY16" s="136"/>
      <c r="FZ16" s="134">
        <f t="shared" ref="FZ16:FZ23" si="231">IF(FY16=0,0,MAX(0,IF(FY$4&gt;18,IF($D16&lt;=FY$4,2,1),IF($C16&lt;=FY$4,1,0))-FY16+$B16+2))</f>
        <v>0</v>
      </c>
      <c r="GA16" s="137"/>
      <c r="GB16" s="135">
        <f t="shared" ref="GB16:GB23" si="232">IF(GA16=0,0,MAX(0,IF(GA$4&gt;18,IF($D16&lt;=GA$4,2,1),IF($C16&lt;=GA$4,1,0))-GA16+$B16+2))</f>
        <v>0</v>
      </c>
    </row>
    <row r="17" spans="1:184">
      <c r="A17" s="88">
        <v>12</v>
      </c>
      <c r="B17" s="2">
        <v>4</v>
      </c>
      <c r="C17" s="100">
        <v>13</v>
      </c>
      <c r="D17" s="125">
        <f t="shared" si="0"/>
        <v>31</v>
      </c>
      <c r="E17" s="113"/>
      <c r="F17" s="134">
        <f t="shared" si="154"/>
        <v>0</v>
      </c>
      <c r="G17" s="136"/>
      <c r="H17" s="134">
        <f t="shared" si="155"/>
        <v>0</v>
      </c>
      <c r="I17" s="136"/>
      <c r="J17" s="134">
        <f t="shared" si="156"/>
        <v>0</v>
      </c>
      <c r="K17" s="136"/>
      <c r="L17" s="134">
        <f t="shared" si="157"/>
        <v>0</v>
      </c>
      <c r="M17" s="136"/>
      <c r="N17" s="134">
        <f t="shared" si="158"/>
        <v>0</v>
      </c>
      <c r="O17" s="136"/>
      <c r="P17" s="134">
        <f t="shared" si="159"/>
        <v>0</v>
      </c>
      <c r="Q17" s="136"/>
      <c r="R17" s="134">
        <f t="shared" si="160"/>
        <v>0</v>
      </c>
      <c r="S17" s="136"/>
      <c r="T17" s="134">
        <f t="shared" si="161"/>
        <v>0</v>
      </c>
      <c r="U17" s="137"/>
      <c r="V17" s="134">
        <f t="shared" si="162"/>
        <v>0</v>
      </c>
      <c r="W17" s="136"/>
      <c r="X17" s="134">
        <f t="shared" ref="X17" si="233">IF(W17=0,0,MAX(0,IF(W$4&gt;18,IF($D17&lt;=W$4,2,1),IF($C17&lt;=W$4,1,0))-W17+$B17+2))</f>
        <v>0</v>
      </c>
      <c r="Y17" s="136"/>
      <c r="Z17" s="134">
        <f t="shared" ref="Z17" si="234">IF(Y17=0,0,MAX(0,IF(Y$4&gt;18,IF($D17&lt;=Y$4,2,1),IF($C17&lt;=Y$4,1,0))-Y17+$B17+2))</f>
        <v>0</v>
      </c>
      <c r="AA17" s="136"/>
      <c r="AB17" s="134">
        <f t="shared" ref="AB17" si="235">IF(AA17=0,0,MAX(0,IF(AA$4&gt;18,IF($D17&lt;=AA$4,2,1),IF($C17&lt;=AA$4,1,0))-AA17+$B17+2))</f>
        <v>0</v>
      </c>
      <c r="AC17" s="136"/>
      <c r="AD17" s="134">
        <f t="shared" ref="AD17" si="236">IF(AC17=0,0,MAX(0,IF(AC$4&gt;18,IF($D17&lt;=AC$4,2,1),IF($C17&lt;=AC$4,1,0))-AC17+$B17+2))</f>
        <v>0</v>
      </c>
      <c r="AE17" s="136"/>
      <c r="AF17" s="134">
        <f t="shared" ref="AF17" si="237">IF(AE17=0,0,MAX(0,IF(AE$4&gt;18,IF($D17&lt;=AE$4,2,1),IF($C17&lt;=AE$4,1,0))-AE17+$B17+2))</f>
        <v>0</v>
      </c>
      <c r="AG17" s="136"/>
      <c r="AH17" s="134">
        <f t="shared" ref="AH17:AJ17" si="238">IF(AG17=0,0,MAX(0,IF(AG$4&gt;18,IF($D17&lt;=AG$4,2,1),IF($C17&lt;=AG$4,1,0))-AG17+$B17+2))</f>
        <v>0</v>
      </c>
      <c r="AI17" s="137"/>
      <c r="AJ17" s="135">
        <f t="shared" si="238"/>
        <v>0</v>
      </c>
      <c r="AL17" s="88">
        <v>12</v>
      </c>
      <c r="AM17" s="2">
        <v>4</v>
      </c>
      <c r="AN17" s="100">
        <v>13</v>
      </c>
      <c r="AO17" s="125">
        <f t="shared" si="150"/>
        <v>31</v>
      </c>
      <c r="AP17" s="113"/>
      <c r="AQ17" s="134">
        <f t="shared" si="169"/>
        <v>0</v>
      </c>
      <c r="AR17" s="136"/>
      <c r="AS17" s="134">
        <f t="shared" si="170"/>
        <v>0</v>
      </c>
      <c r="AT17" s="136"/>
      <c r="AU17" s="134">
        <f t="shared" si="171"/>
        <v>0</v>
      </c>
      <c r="AV17" s="136"/>
      <c r="AW17" s="134">
        <f t="shared" si="172"/>
        <v>0</v>
      </c>
      <c r="AX17" s="136"/>
      <c r="AY17" s="134">
        <f t="shared" si="173"/>
        <v>0</v>
      </c>
      <c r="AZ17" s="136"/>
      <c r="BA17" s="134">
        <f t="shared" si="174"/>
        <v>0</v>
      </c>
      <c r="BB17" s="136"/>
      <c r="BC17" s="134">
        <f t="shared" si="175"/>
        <v>0</v>
      </c>
      <c r="BD17" s="136"/>
      <c r="BE17" s="134">
        <f t="shared" si="176"/>
        <v>0</v>
      </c>
      <c r="BF17" s="137"/>
      <c r="BG17" s="134">
        <f t="shared" si="177"/>
        <v>0</v>
      </c>
      <c r="BH17" s="136"/>
      <c r="BI17" s="134">
        <f t="shared" si="178"/>
        <v>0</v>
      </c>
      <c r="BJ17" s="136"/>
      <c r="BK17" s="134">
        <f t="shared" si="179"/>
        <v>0</v>
      </c>
      <c r="BL17" s="136"/>
      <c r="BM17" s="134">
        <f t="shared" si="180"/>
        <v>0</v>
      </c>
      <c r="BN17" s="136"/>
      <c r="BO17" s="134">
        <f t="shared" si="181"/>
        <v>0</v>
      </c>
      <c r="BP17" s="136"/>
      <c r="BQ17" s="134">
        <f t="shared" si="182"/>
        <v>0</v>
      </c>
      <c r="BR17" s="136"/>
      <c r="BS17" s="134">
        <f t="shared" si="183"/>
        <v>0</v>
      </c>
      <c r="BT17" s="137"/>
      <c r="BU17" s="135">
        <f t="shared" si="184"/>
        <v>0</v>
      </c>
      <c r="BW17" s="88">
        <v>12</v>
      </c>
      <c r="BX17" s="2">
        <v>4</v>
      </c>
      <c r="BY17" s="100">
        <v>13</v>
      </c>
      <c r="BZ17" s="125">
        <f t="shared" si="151"/>
        <v>31</v>
      </c>
      <c r="CA17" s="113"/>
      <c r="CB17" s="134">
        <f t="shared" si="185"/>
        <v>0</v>
      </c>
      <c r="CC17" s="136"/>
      <c r="CD17" s="134">
        <f t="shared" si="186"/>
        <v>0</v>
      </c>
      <c r="CE17" s="136"/>
      <c r="CF17" s="134">
        <f t="shared" si="187"/>
        <v>0</v>
      </c>
      <c r="CG17" s="136"/>
      <c r="CH17" s="134">
        <f t="shared" si="188"/>
        <v>0</v>
      </c>
      <c r="CI17" s="136"/>
      <c r="CJ17" s="134">
        <f t="shared" si="189"/>
        <v>0</v>
      </c>
      <c r="CK17" s="136"/>
      <c r="CL17" s="134">
        <f t="shared" si="190"/>
        <v>0</v>
      </c>
      <c r="CM17" s="136"/>
      <c r="CN17" s="134">
        <f t="shared" si="191"/>
        <v>0</v>
      </c>
      <c r="CO17" s="136"/>
      <c r="CP17" s="134">
        <f t="shared" si="192"/>
        <v>0</v>
      </c>
      <c r="CQ17" s="137"/>
      <c r="CR17" s="134">
        <f t="shared" si="193"/>
        <v>0</v>
      </c>
      <c r="CS17" s="136"/>
      <c r="CT17" s="134">
        <f t="shared" si="194"/>
        <v>0</v>
      </c>
      <c r="CU17" s="136"/>
      <c r="CV17" s="134">
        <f t="shared" si="195"/>
        <v>0</v>
      </c>
      <c r="CW17" s="136"/>
      <c r="CX17" s="134">
        <f t="shared" si="196"/>
        <v>0</v>
      </c>
      <c r="CY17" s="136"/>
      <c r="CZ17" s="134">
        <f t="shared" si="197"/>
        <v>0</v>
      </c>
      <c r="DA17" s="136"/>
      <c r="DB17" s="134">
        <f t="shared" si="198"/>
        <v>0</v>
      </c>
      <c r="DC17" s="136"/>
      <c r="DD17" s="134">
        <f t="shared" si="199"/>
        <v>0</v>
      </c>
      <c r="DE17" s="137"/>
      <c r="DF17" s="135">
        <f t="shared" si="200"/>
        <v>0</v>
      </c>
      <c r="DH17" s="88">
        <v>12</v>
      </c>
      <c r="DI17" s="2">
        <v>4</v>
      </c>
      <c r="DJ17" s="100">
        <v>13</v>
      </c>
      <c r="DK17" s="125">
        <f t="shared" si="152"/>
        <v>31</v>
      </c>
      <c r="DL17" s="113"/>
      <c r="DM17" s="134">
        <f t="shared" si="201"/>
        <v>0</v>
      </c>
      <c r="DN17" s="136"/>
      <c r="DO17" s="134">
        <f t="shared" si="202"/>
        <v>0</v>
      </c>
      <c r="DP17" s="136"/>
      <c r="DQ17" s="134">
        <f t="shared" si="203"/>
        <v>0</v>
      </c>
      <c r="DR17" s="136"/>
      <c r="DS17" s="134">
        <f t="shared" si="204"/>
        <v>0</v>
      </c>
      <c r="DT17" s="136"/>
      <c r="DU17" s="134">
        <f t="shared" si="205"/>
        <v>0</v>
      </c>
      <c r="DV17" s="136"/>
      <c r="DW17" s="134">
        <f t="shared" si="206"/>
        <v>0</v>
      </c>
      <c r="DX17" s="136"/>
      <c r="DY17" s="134">
        <f t="shared" si="207"/>
        <v>0</v>
      </c>
      <c r="DZ17" s="136"/>
      <c r="EA17" s="134">
        <f t="shared" si="208"/>
        <v>0</v>
      </c>
      <c r="EB17" s="137"/>
      <c r="EC17" s="134">
        <f t="shared" si="209"/>
        <v>0</v>
      </c>
      <c r="ED17" s="136"/>
      <c r="EE17" s="134">
        <f t="shared" si="210"/>
        <v>0</v>
      </c>
      <c r="EF17" s="136"/>
      <c r="EG17" s="134">
        <f t="shared" si="211"/>
        <v>0</v>
      </c>
      <c r="EH17" s="136"/>
      <c r="EI17" s="134">
        <f t="shared" si="212"/>
        <v>0</v>
      </c>
      <c r="EJ17" s="136"/>
      <c r="EK17" s="134">
        <f t="shared" si="213"/>
        <v>0</v>
      </c>
      <c r="EL17" s="136"/>
      <c r="EM17" s="134">
        <f t="shared" si="214"/>
        <v>0</v>
      </c>
      <c r="EN17" s="136"/>
      <c r="EO17" s="134">
        <f t="shared" si="215"/>
        <v>0</v>
      </c>
      <c r="EP17" s="137"/>
      <c r="EQ17" s="135">
        <f t="shared" si="216"/>
        <v>0</v>
      </c>
      <c r="ES17" s="88">
        <v>12</v>
      </c>
      <c r="ET17" s="2">
        <v>4</v>
      </c>
      <c r="EU17" s="100">
        <v>13</v>
      </c>
      <c r="EV17" s="125">
        <f t="shared" si="153"/>
        <v>31</v>
      </c>
      <c r="EW17" s="113"/>
      <c r="EX17" s="134">
        <f t="shared" si="217"/>
        <v>0</v>
      </c>
      <c r="EY17" s="136"/>
      <c r="EZ17" s="134">
        <f t="shared" si="218"/>
        <v>0</v>
      </c>
      <c r="FA17" s="136"/>
      <c r="FB17" s="134">
        <f t="shared" si="219"/>
        <v>0</v>
      </c>
      <c r="FC17" s="136"/>
      <c r="FD17" s="134">
        <f t="shared" si="220"/>
        <v>0</v>
      </c>
      <c r="FE17" s="136"/>
      <c r="FF17" s="134">
        <f t="shared" si="221"/>
        <v>0</v>
      </c>
      <c r="FG17" s="136"/>
      <c r="FH17" s="134">
        <f t="shared" si="222"/>
        <v>0</v>
      </c>
      <c r="FI17" s="136"/>
      <c r="FJ17" s="134">
        <f t="shared" si="223"/>
        <v>0</v>
      </c>
      <c r="FK17" s="136"/>
      <c r="FL17" s="134">
        <f t="shared" si="224"/>
        <v>0</v>
      </c>
      <c r="FM17" s="137"/>
      <c r="FN17" s="134">
        <f t="shared" si="225"/>
        <v>0</v>
      </c>
      <c r="FO17" s="136"/>
      <c r="FP17" s="134">
        <f t="shared" si="226"/>
        <v>0</v>
      </c>
      <c r="FQ17" s="136"/>
      <c r="FR17" s="134">
        <f t="shared" si="227"/>
        <v>0</v>
      </c>
      <c r="FS17" s="136"/>
      <c r="FT17" s="134">
        <f t="shared" si="228"/>
        <v>0</v>
      </c>
      <c r="FU17" s="136"/>
      <c r="FV17" s="134">
        <f t="shared" si="229"/>
        <v>0</v>
      </c>
      <c r="FW17" s="136"/>
      <c r="FX17" s="134">
        <f t="shared" si="230"/>
        <v>0</v>
      </c>
      <c r="FY17" s="136"/>
      <c r="FZ17" s="134">
        <f t="shared" si="231"/>
        <v>0</v>
      </c>
      <c r="GA17" s="137"/>
      <c r="GB17" s="135">
        <f t="shared" si="232"/>
        <v>0</v>
      </c>
    </row>
    <row r="18" spans="1:184">
      <c r="A18" s="88">
        <v>13</v>
      </c>
      <c r="B18" s="2">
        <v>4</v>
      </c>
      <c r="C18" s="100">
        <v>17</v>
      </c>
      <c r="D18" s="125">
        <f t="shared" si="0"/>
        <v>35</v>
      </c>
      <c r="E18" s="113"/>
      <c r="F18" s="134">
        <f t="shared" si="154"/>
        <v>0</v>
      </c>
      <c r="G18" s="136"/>
      <c r="H18" s="134">
        <f t="shared" si="155"/>
        <v>0</v>
      </c>
      <c r="I18" s="136"/>
      <c r="J18" s="134">
        <f t="shared" si="156"/>
        <v>0</v>
      </c>
      <c r="K18" s="136"/>
      <c r="L18" s="134">
        <f t="shared" si="157"/>
        <v>0</v>
      </c>
      <c r="M18" s="136"/>
      <c r="N18" s="134">
        <f t="shared" si="158"/>
        <v>0</v>
      </c>
      <c r="O18" s="136"/>
      <c r="P18" s="134">
        <f t="shared" si="159"/>
        <v>0</v>
      </c>
      <c r="Q18" s="136"/>
      <c r="R18" s="134">
        <f t="shared" si="160"/>
        <v>0</v>
      </c>
      <c r="S18" s="136"/>
      <c r="T18" s="134">
        <f t="shared" si="161"/>
        <v>0</v>
      </c>
      <c r="U18" s="137"/>
      <c r="V18" s="134">
        <f t="shared" si="162"/>
        <v>0</v>
      </c>
      <c r="W18" s="136"/>
      <c r="X18" s="134">
        <f t="shared" ref="X18" si="239">IF(W18=0,0,MAX(0,IF(W$4&gt;18,IF($D18&lt;=W$4,2,1),IF($C18&lt;=W$4,1,0))-W18+$B18+2))</f>
        <v>0</v>
      </c>
      <c r="Y18" s="136"/>
      <c r="Z18" s="134">
        <f t="shared" ref="Z18" si="240">IF(Y18=0,0,MAX(0,IF(Y$4&gt;18,IF($D18&lt;=Y$4,2,1),IF($C18&lt;=Y$4,1,0))-Y18+$B18+2))</f>
        <v>0</v>
      </c>
      <c r="AA18" s="136"/>
      <c r="AB18" s="134">
        <f t="shared" ref="AB18" si="241">IF(AA18=0,0,MAX(0,IF(AA$4&gt;18,IF($D18&lt;=AA$4,2,1),IF($C18&lt;=AA$4,1,0))-AA18+$B18+2))</f>
        <v>0</v>
      </c>
      <c r="AC18" s="136"/>
      <c r="AD18" s="134">
        <f t="shared" ref="AD18" si="242">IF(AC18=0,0,MAX(0,IF(AC$4&gt;18,IF($D18&lt;=AC$4,2,1),IF($C18&lt;=AC$4,1,0))-AC18+$B18+2))</f>
        <v>0</v>
      </c>
      <c r="AE18" s="136"/>
      <c r="AF18" s="134">
        <f t="shared" ref="AF18" si="243">IF(AE18=0,0,MAX(0,IF(AE$4&gt;18,IF($D18&lt;=AE$4,2,1),IF($C18&lt;=AE$4,1,0))-AE18+$B18+2))</f>
        <v>0</v>
      </c>
      <c r="AG18" s="136"/>
      <c r="AH18" s="134">
        <f t="shared" ref="AH18:AJ18" si="244">IF(AG18=0,0,MAX(0,IF(AG$4&gt;18,IF($D18&lt;=AG$4,2,1),IF($C18&lt;=AG$4,1,0))-AG18+$B18+2))</f>
        <v>0</v>
      </c>
      <c r="AI18" s="137"/>
      <c r="AJ18" s="135">
        <f t="shared" si="244"/>
        <v>0</v>
      </c>
      <c r="AL18" s="88">
        <v>13</v>
      </c>
      <c r="AM18" s="2">
        <v>4</v>
      </c>
      <c r="AN18" s="100">
        <v>17</v>
      </c>
      <c r="AO18" s="125">
        <f t="shared" si="150"/>
        <v>35</v>
      </c>
      <c r="AP18" s="113"/>
      <c r="AQ18" s="134">
        <f t="shared" si="169"/>
        <v>0</v>
      </c>
      <c r="AR18" s="136"/>
      <c r="AS18" s="134">
        <f t="shared" si="170"/>
        <v>0</v>
      </c>
      <c r="AT18" s="136"/>
      <c r="AU18" s="134">
        <f t="shared" si="171"/>
        <v>0</v>
      </c>
      <c r="AV18" s="136"/>
      <c r="AW18" s="134">
        <f t="shared" si="172"/>
        <v>0</v>
      </c>
      <c r="AX18" s="136"/>
      <c r="AY18" s="134">
        <f t="shared" si="173"/>
        <v>0</v>
      </c>
      <c r="AZ18" s="136"/>
      <c r="BA18" s="134">
        <f t="shared" si="174"/>
        <v>0</v>
      </c>
      <c r="BB18" s="136"/>
      <c r="BC18" s="134">
        <f t="shared" si="175"/>
        <v>0</v>
      </c>
      <c r="BD18" s="136"/>
      <c r="BE18" s="134">
        <f t="shared" si="176"/>
        <v>0</v>
      </c>
      <c r="BF18" s="137"/>
      <c r="BG18" s="134">
        <f t="shared" si="177"/>
        <v>0</v>
      </c>
      <c r="BH18" s="136"/>
      <c r="BI18" s="134">
        <f t="shared" si="178"/>
        <v>0</v>
      </c>
      <c r="BJ18" s="136"/>
      <c r="BK18" s="134">
        <f t="shared" si="179"/>
        <v>0</v>
      </c>
      <c r="BL18" s="136"/>
      <c r="BM18" s="134">
        <f t="shared" si="180"/>
        <v>0</v>
      </c>
      <c r="BN18" s="136"/>
      <c r="BO18" s="134">
        <f t="shared" si="181"/>
        <v>0</v>
      </c>
      <c r="BP18" s="136"/>
      <c r="BQ18" s="134">
        <f t="shared" si="182"/>
        <v>0</v>
      </c>
      <c r="BR18" s="136"/>
      <c r="BS18" s="134">
        <f t="shared" si="183"/>
        <v>0</v>
      </c>
      <c r="BT18" s="137"/>
      <c r="BU18" s="135">
        <f t="shared" si="184"/>
        <v>0</v>
      </c>
      <c r="BW18" s="88">
        <v>13</v>
      </c>
      <c r="BX18" s="2">
        <v>4</v>
      </c>
      <c r="BY18" s="100">
        <v>17</v>
      </c>
      <c r="BZ18" s="125">
        <f t="shared" si="151"/>
        <v>35</v>
      </c>
      <c r="CA18" s="113"/>
      <c r="CB18" s="134">
        <f t="shared" si="185"/>
        <v>0</v>
      </c>
      <c r="CC18" s="136"/>
      <c r="CD18" s="134">
        <f t="shared" si="186"/>
        <v>0</v>
      </c>
      <c r="CE18" s="136"/>
      <c r="CF18" s="134">
        <f t="shared" si="187"/>
        <v>0</v>
      </c>
      <c r="CG18" s="136"/>
      <c r="CH18" s="134">
        <f t="shared" si="188"/>
        <v>0</v>
      </c>
      <c r="CI18" s="136"/>
      <c r="CJ18" s="134">
        <f t="shared" si="189"/>
        <v>0</v>
      </c>
      <c r="CK18" s="136"/>
      <c r="CL18" s="134">
        <f t="shared" si="190"/>
        <v>0</v>
      </c>
      <c r="CM18" s="136"/>
      <c r="CN18" s="134">
        <f t="shared" si="191"/>
        <v>0</v>
      </c>
      <c r="CO18" s="136"/>
      <c r="CP18" s="134">
        <f t="shared" si="192"/>
        <v>0</v>
      </c>
      <c r="CQ18" s="137"/>
      <c r="CR18" s="134">
        <f t="shared" si="193"/>
        <v>0</v>
      </c>
      <c r="CS18" s="136"/>
      <c r="CT18" s="134">
        <f t="shared" si="194"/>
        <v>0</v>
      </c>
      <c r="CU18" s="136"/>
      <c r="CV18" s="134">
        <f t="shared" si="195"/>
        <v>0</v>
      </c>
      <c r="CW18" s="136"/>
      <c r="CX18" s="134">
        <f t="shared" si="196"/>
        <v>0</v>
      </c>
      <c r="CY18" s="136"/>
      <c r="CZ18" s="134">
        <f t="shared" si="197"/>
        <v>0</v>
      </c>
      <c r="DA18" s="136"/>
      <c r="DB18" s="134">
        <f t="shared" si="198"/>
        <v>0</v>
      </c>
      <c r="DC18" s="136"/>
      <c r="DD18" s="134">
        <f t="shared" si="199"/>
        <v>0</v>
      </c>
      <c r="DE18" s="137"/>
      <c r="DF18" s="135">
        <f t="shared" si="200"/>
        <v>0</v>
      </c>
      <c r="DH18" s="88">
        <v>13</v>
      </c>
      <c r="DI18" s="2">
        <v>4</v>
      </c>
      <c r="DJ18" s="100">
        <v>17</v>
      </c>
      <c r="DK18" s="125">
        <f t="shared" si="152"/>
        <v>35</v>
      </c>
      <c r="DL18" s="113"/>
      <c r="DM18" s="134">
        <f t="shared" si="201"/>
        <v>0</v>
      </c>
      <c r="DN18" s="136"/>
      <c r="DO18" s="134">
        <f t="shared" si="202"/>
        <v>0</v>
      </c>
      <c r="DP18" s="136"/>
      <c r="DQ18" s="134">
        <f t="shared" si="203"/>
        <v>0</v>
      </c>
      <c r="DR18" s="136"/>
      <c r="DS18" s="134">
        <f t="shared" si="204"/>
        <v>0</v>
      </c>
      <c r="DT18" s="136"/>
      <c r="DU18" s="134">
        <f t="shared" si="205"/>
        <v>0</v>
      </c>
      <c r="DV18" s="136"/>
      <c r="DW18" s="134">
        <f t="shared" si="206"/>
        <v>0</v>
      </c>
      <c r="DX18" s="136"/>
      <c r="DY18" s="134">
        <f t="shared" si="207"/>
        <v>0</v>
      </c>
      <c r="DZ18" s="136"/>
      <c r="EA18" s="134">
        <f t="shared" si="208"/>
        <v>0</v>
      </c>
      <c r="EB18" s="137"/>
      <c r="EC18" s="134">
        <f t="shared" si="209"/>
        <v>0</v>
      </c>
      <c r="ED18" s="136"/>
      <c r="EE18" s="134">
        <f t="shared" si="210"/>
        <v>0</v>
      </c>
      <c r="EF18" s="136"/>
      <c r="EG18" s="134">
        <f t="shared" si="211"/>
        <v>0</v>
      </c>
      <c r="EH18" s="136"/>
      <c r="EI18" s="134">
        <f t="shared" si="212"/>
        <v>0</v>
      </c>
      <c r="EJ18" s="136"/>
      <c r="EK18" s="134">
        <f t="shared" si="213"/>
        <v>0</v>
      </c>
      <c r="EL18" s="136"/>
      <c r="EM18" s="134">
        <f t="shared" si="214"/>
        <v>0</v>
      </c>
      <c r="EN18" s="136"/>
      <c r="EO18" s="134">
        <f t="shared" si="215"/>
        <v>0</v>
      </c>
      <c r="EP18" s="137"/>
      <c r="EQ18" s="135">
        <f t="shared" si="216"/>
        <v>0</v>
      </c>
      <c r="ES18" s="88">
        <v>13</v>
      </c>
      <c r="ET18" s="2">
        <v>4</v>
      </c>
      <c r="EU18" s="100">
        <v>17</v>
      </c>
      <c r="EV18" s="125">
        <f t="shared" si="153"/>
        <v>35</v>
      </c>
      <c r="EW18" s="113"/>
      <c r="EX18" s="134">
        <f t="shared" si="217"/>
        <v>0</v>
      </c>
      <c r="EY18" s="136"/>
      <c r="EZ18" s="134">
        <f t="shared" si="218"/>
        <v>0</v>
      </c>
      <c r="FA18" s="136"/>
      <c r="FB18" s="134">
        <f t="shared" si="219"/>
        <v>0</v>
      </c>
      <c r="FC18" s="136"/>
      <c r="FD18" s="134">
        <f t="shared" si="220"/>
        <v>0</v>
      </c>
      <c r="FE18" s="136"/>
      <c r="FF18" s="134">
        <f t="shared" si="221"/>
        <v>0</v>
      </c>
      <c r="FG18" s="136"/>
      <c r="FH18" s="134">
        <f t="shared" si="222"/>
        <v>0</v>
      </c>
      <c r="FI18" s="136"/>
      <c r="FJ18" s="134">
        <f t="shared" si="223"/>
        <v>0</v>
      </c>
      <c r="FK18" s="136"/>
      <c r="FL18" s="134">
        <f t="shared" si="224"/>
        <v>0</v>
      </c>
      <c r="FM18" s="137"/>
      <c r="FN18" s="134">
        <f t="shared" si="225"/>
        <v>0</v>
      </c>
      <c r="FO18" s="136"/>
      <c r="FP18" s="134">
        <f t="shared" si="226"/>
        <v>0</v>
      </c>
      <c r="FQ18" s="136"/>
      <c r="FR18" s="134">
        <f t="shared" si="227"/>
        <v>0</v>
      </c>
      <c r="FS18" s="136"/>
      <c r="FT18" s="134">
        <f t="shared" si="228"/>
        <v>0</v>
      </c>
      <c r="FU18" s="136"/>
      <c r="FV18" s="134">
        <f t="shared" si="229"/>
        <v>0</v>
      </c>
      <c r="FW18" s="136"/>
      <c r="FX18" s="134">
        <f t="shared" si="230"/>
        <v>0</v>
      </c>
      <c r="FY18" s="136"/>
      <c r="FZ18" s="134">
        <f t="shared" si="231"/>
        <v>0</v>
      </c>
      <c r="GA18" s="137"/>
      <c r="GB18" s="135">
        <f t="shared" si="232"/>
        <v>0</v>
      </c>
    </row>
    <row r="19" spans="1:184">
      <c r="A19" s="88">
        <v>14</v>
      </c>
      <c r="B19" s="2">
        <v>4</v>
      </c>
      <c r="C19" s="100">
        <v>11</v>
      </c>
      <c r="D19" s="125">
        <f t="shared" si="0"/>
        <v>29</v>
      </c>
      <c r="E19" s="113"/>
      <c r="F19" s="134">
        <f t="shared" si="154"/>
        <v>0</v>
      </c>
      <c r="G19" s="136"/>
      <c r="H19" s="134">
        <f t="shared" si="155"/>
        <v>0</v>
      </c>
      <c r="I19" s="136"/>
      <c r="J19" s="134">
        <f t="shared" si="156"/>
        <v>0</v>
      </c>
      <c r="K19" s="136"/>
      <c r="L19" s="134">
        <f t="shared" si="157"/>
        <v>0</v>
      </c>
      <c r="M19" s="136"/>
      <c r="N19" s="134">
        <f t="shared" si="158"/>
        <v>0</v>
      </c>
      <c r="O19" s="136"/>
      <c r="P19" s="134">
        <f t="shared" si="159"/>
        <v>0</v>
      </c>
      <c r="Q19" s="136"/>
      <c r="R19" s="134">
        <f t="shared" si="160"/>
        <v>0</v>
      </c>
      <c r="S19" s="136"/>
      <c r="T19" s="134">
        <f t="shared" si="161"/>
        <v>0</v>
      </c>
      <c r="U19" s="137"/>
      <c r="V19" s="134">
        <f t="shared" si="162"/>
        <v>0</v>
      </c>
      <c r="W19" s="136"/>
      <c r="X19" s="134">
        <f t="shared" ref="X19" si="245">IF(W19=0,0,MAX(0,IF(W$4&gt;18,IF($D19&lt;=W$4,2,1),IF($C19&lt;=W$4,1,0))-W19+$B19+2))</f>
        <v>0</v>
      </c>
      <c r="Y19" s="136"/>
      <c r="Z19" s="134">
        <f t="shared" ref="Z19" si="246">IF(Y19=0,0,MAX(0,IF(Y$4&gt;18,IF($D19&lt;=Y$4,2,1),IF($C19&lt;=Y$4,1,0))-Y19+$B19+2))</f>
        <v>0</v>
      </c>
      <c r="AA19" s="136"/>
      <c r="AB19" s="134">
        <f t="shared" ref="AB19" si="247">IF(AA19=0,0,MAX(0,IF(AA$4&gt;18,IF($D19&lt;=AA$4,2,1),IF($C19&lt;=AA$4,1,0))-AA19+$B19+2))</f>
        <v>0</v>
      </c>
      <c r="AC19" s="136"/>
      <c r="AD19" s="134">
        <f t="shared" ref="AD19" si="248">IF(AC19=0,0,MAX(0,IF(AC$4&gt;18,IF($D19&lt;=AC$4,2,1),IF($C19&lt;=AC$4,1,0))-AC19+$B19+2))</f>
        <v>0</v>
      </c>
      <c r="AE19" s="136"/>
      <c r="AF19" s="134">
        <f t="shared" ref="AF19" si="249">IF(AE19=0,0,MAX(0,IF(AE$4&gt;18,IF($D19&lt;=AE$4,2,1),IF($C19&lt;=AE$4,1,0))-AE19+$B19+2))</f>
        <v>0</v>
      </c>
      <c r="AG19" s="136"/>
      <c r="AH19" s="134">
        <f t="shared" ref="AH19:AJ19" si="250">IF(AG19=0,0,MAX(0,IF(AG$4&gt;18,IF($D19&lt;=AG$4,2,1),IF($C19&lt;=AG$4,1,0))-AG19+$B19+2))</f>
        <v>0</v>
      </c>
      <c r="AI19" s="137"/>
      <c r="AJ19" s="135">
        <f t="shared" si="250"/>
        <v>0</v>
      </c>
      <c r="AL19" s="88">
        <v>14</v>
      </c>
      <c r="AM19" s="2">
        <v>4</v>
      </c>
      <c r="AN19" s="100">
        <v>11</v>
      </c>
      <c r="AO19" s="125">
        <f t="shared" si="150"/>
        <v>29</v>
      </c>
      <c r="AP19" s="113"/>
      <c r="AQ19" s="134">
        <f t="shared" si="169"/>
        <v>0</v>
      </c>
      <c r="AR19" s="136"/>
      <c r="AS19" s="134">
        <f t="shared" si="170"/>
        <v>0</v>
      </c>
      <c r="AT19" s="136"/>
      <c r="AU19" s="134">
        <f t="shared" si="171"/>
        <v>0</v>
      </c>
      <c r="AV19" s="136"/>
      <c r="AW19" s="134">
        <f t="shared" si="172"/>
        <v>0</v>
      </c>
      <c r="AX19" s="136"/>
      <c r="AY19" s="134">
        <f t="shared" si="173"/>
        <v>0</v>
      </c>
      <c r="AZ19" s="136"/>
      <c r="BA19" s="134">
        <f t="shared" si="174"/>
        <v>0</v>
      </c>
      <c r="BB19" s="136"/>
      <c r="BC19" s="134">
        <f t="shared" si="175"/>
        <v>0</v>
      </c>
      <c r="BD19" s="136"/>
      <c r="BE19" s="134">
        <f t="shared" si="176"/>
        <v>0</v>
      </c>
      <c r="BF19" s="137"/>
      <c r="BG19" s="134">
        <f t="shared" si="177"/>
        <v>0</v>
      </c>
      <c r="BH19" s="136"/>
      <c r="BI19" s="134">
        <f t="shared" si="178"/>
        <v>0</v>
      </c>
      <c r="BJ19" s="136"/>
      <c r="BK19" s="134">
        <f t="shared" si="179"/>
        <v>0</v>
      </c>
      <c r="BL19" s="136"/>
      <c r="BM19" s="134">
        <f t="shared" si="180"/>
        <v>0</v>
      </c>
      <c r="BN19" s="136"/>
      <c r="BO19" s="134">
        <f t="shared" si="181"/>
        <v>0</v>
      </c>
      <c r="BP19" s="136"/>
      <c r="BQ19" s="134">
        <f t="shared" si="182"/>
        <v>0</v>
      </c>
      <c r="BR19" s="136"/>
      <c r="BS19" s="134">
        <f t="shared" si="183"/>
        <v>0</v>
      </c>
      <c r="BT19" s="137"/>
      <c r="BU19" s="135">
        <f t="shared" si="184"/>
        <v>0</v>
      </c>
      <c r="BW19" s="88">
        <v>14</v>
      </c>
      <c r="BX19" s="2">
        <v>4</v>
      </c>
      <c r="BY19" s="100">
        <v>11</v>
      </c>
      <c r="BZ19" s="125">
        <f t="shared" si="151"/>
        <v>29</v>
      </c>
      <c r="CA19" s="113"/>
      <c r="CB19" s="134">
        <f t="shared" si="185"/>
        <v>0</v>
      </c>
      <c r="CC19" s="136"/>
      <c r="CD19" s="134">
        <f t="shared" si="186"/>
        <v>0</v>
      </c>
      <c r="CE19" s="136"/>
      <c r="CF19" s="134">
        <f t="shared" si="187"/>
        <v>0</v>
      </c>
      <c r="CG19" s="136"/>
      <c r="CH19" s="134">
        <f t="shared" si="188"/>
        <v>0</v>
      </c>
      <c r="CI19" s="136"/>
      <c r="CJ19" s="134">
        <f t="shared" si="189"/>
        <v>0</v>
      </c>
      <c r="CK19" s="136"/>
      <c r="CL19" s="134">
        <f t="shared" si="190"/>
        <v>0</v>
      </c>
      <c r="CM19" s="136"/>
      <c r="CN19" s="134">
        <f t="shared" si="191"/>
        <v>0</v>
      </c>
      <c r="CO19" s="136"/>
      <c r="CP19" s="134">
        <f t="shared" si="192"/>
        <v>0</v>
      </c>
      <c r="CQ19" s="137"/>
      <c r="CR19" s="134">
        <f t="shared" si="193"/>
        <v>0</v>
      </c>
      <c r="CS19" s="136"/>
      <c r="CT19" s="134">
        <f t="shared" si="194"/>
        <v>0</v>
      </c>
      <c r="CU19" s="136"/>
      <c r="CV19" s="134">
        <f t="shared" si="195"/>
        <v>0</v>
      </c>
      <c r="CW19" s="136"/>
      <c r="CX19" s="134">
        <f t="shared" si="196"/>
        <v>0</v>
      </c>
      <c r="CY19" s="136"/>
      <c r="CZ19" s="134">
        <f t="shared" si="197"/>
        <v>0</v>
      </c>
      <c r="DA19" s="136"/>
      <c r="DB19" s="134">
        <f t="shared" si="198"/>
        <v>0</v>
      </c>
      <c r="DC19" s="136"/>
      <c r="DD19" s="134">
        <f t="shared" si="199"/>
        <v>0</v>
      </c>
      <c r="DE19" s="137"/>
      <c r="DF19" s="135">
        <f t="shared" si="200"/>
        <v>0</v>
      </c>
      <c r="DH19" s="88">
        <v>14</v>
      </c>
      <c r="DI19" s="2">
        <v>4</v>
      </c>
      <c r="DJ19" s="100">
        <v>11</v>
      </c>
      <c r="DK19" s="125">
        <f t="shared" si="152"/>
        <v>29</v>
      </c>
      <c r="DL19" s="113"/>
      <c r="DM19" s="134">
        <f t="shared" si="201"/>
        <v>0</v>
      </c>
      <c r="DN19" s="136"/>
      <c r="DO19" s="134">
        <f t="shared" si="202"/>
        <v>0</v>
      </c>
      <c r="DP19" s="136"/>
      <c r="DQ19" s="134">
        <f t="shared" si="203"/>
        <v>0</v>
      </c>
      <c r="DR19" s="136"/>
      <c r="DS19" s="134">
        <f t="shared" si="204"/>
        <v>0</v>
      </c>
      <c r="DT19" s="136"/>
      <c r="DU19" s="134">
        <f t="shared" si="205"/>
        <v>0</v>
      </c>
      <c r="DV19" s="136"/>
      <c r="DW19" s="134">
        <f t="shared" si="206"/>
        <v>0</v>
      </c>
      <c r="DX19" s="136"/>
      <c r="DY19" s="134">
        <f t="shared" si="207"/>
        <v>0</v>
      </c>
      <c r="DZ19" s="136"/>
      <c r="EA19" s="134">
        <f t="shared" si="208"/>
        <v>0</v>
      </c>
      <c r="EB19" s="137"/>
      <c r="EC19" s="134">
        <f t="shared" si="209"/>
        <v>0</v>
      </c>
      <c r="ED19" s="136"/>
      <c r="EE19" s="134">
        <f t="shared" si="210"/>
        <v>0</v>
      </c>
      <c r="EF19" s="136"/>
      <c r="EG19" s="134">
        <f t="shared" si="211"/>
        <v>0</v>
      </c>
      <c r="EH19" s="136"/>
      <c r="EI19" s="134">
        <f t="shared" si="212"/>
        <v>0</v>
      </c>
      <c r="EJ19" s="136"/>
      <c r="EK19" s="134">
        <f t="shared" si="213"/>
        <v>0</v>
      </c>
      <c r="EL19" s="136"/>
      <c r="EM19" s="134">
        <f t="shared" si="214"/>
        <v>0</v>
      </c>
      <c r="EN19" s="136"/>
      <c r="EO19" s="134">
        <f t="shared" si="215"/>
        <v>0</v>
      </c>
      <c r="EP19" s="137"/>
      <c r="EQ19" s="135">
        <f t="shared" si="216"/>
        <v>0</v>
      </c>
      <c r="ES19" s="88">
        <v>14</v>
      </c>
      <c r="ET19" s="2">
        <v>4</v>
      </c>
      <c r="EU19" s="100">
        <v>11</v>
      </c>
      <c r="EV19" s="125">
        <f t="shared" si="153"/>
        <v>29</v>
      </c>
      <c r="EW19" s="113"/>
      <c r="EX19" s="134">
        <f t="shared" si="217"/>
        <v>0</v>
      </c>
      <c r="EY19" s="136"/>
      <c r="EZ19" s="134">
        <f t="shared" si="218"/>
        <v>0</v>
      </c>
      <c r="FA19" s="136"/>
      <c r="FB19" s="134">
        <f t="shared" si="219"/>
        <v>0</v>
      </c>
      <c r="FC19" s="136"/>
      <c r="FD19" s="134">
        <f t="shared" si="220"/>
        <v>0</v>
      </c>
      <c r="FE19" s="136"/>
      <c r="FF19" s="134">
        <f t="shared" si="221"/>
        <v>0</v>
      </c>
      <c r="FG19" s="136"/>
      <c r="FH19" s="134">
        <f t="shared" si="222"/>
        <v>0</v>
      </c>
      <c r="FI19" s="136"/>
      <c r="FJ19" s="134">
        <f t="shared" si="223"/>
        <v>0</v>
      </c>
      <c r="FK19" s="136"/>
      <c r="FL19" s="134">
        <f t="shared" si="224"/>
        <v>0</v>
      </c>
      <c r="FM19" s="137"/>
      <c r="FN19" s="134">
        <f t="shared" si="225"/>
        <v>0</v>
      </c>
      <c r="FO19" s="136"/>
      <c r="FP19" s="134">
        <f t="shared" si="226"/>
        <v>0</v>
      </c>
      <c r="FQ19" s="136"/>
      <c r="FR19" s="134">
        <f t="shared" si="227"/>
        <v>0</v>
      </c>
      <c r="FS19" s="136"/>
      <c r="FT19" s="134">
        <f t="shared" si="228"/>
        <v>0</v>
      </c>
      <c r="FU19" s="136"/>
      <c r="FV19" s="134">
        <f t="shared" si="229"/>
        <v>0</v>
      </c>
      <c r="FW19" s="136"/>
      <c r="FX19" s="134">
        <f t="shared" si="230"/>
        <v>0</v>
      </c>
      <c r="FY19" s="136"/>
      <c r="FZ19" s="134">
        <f t="shared" si="231"/>
        <v>0</v>
      </c>
      <c r="GA19" s="137"/>
      <c r="GB19" s="135">
        <f t="shared" si="232"/>
        <v>0</v>
      </c>
    </row>
    <row r="20" spans="1:184">
      <c r="A20" s="88">
        <v>15</v>
      </c>
      <c r="B20" s="2">
        <v>4</v>
      </c>
      <c r="C20" s="100">
        <v>7</v>
      </c>
      <c r="D20" s="125">
        <f t="shared" si="0"/>
        <v>25</v>
      </c>
      <c r="E20" s="113"/>
      <c r="F20" s="134">
        <f t="shared" si="154"/>
        <v>0</v>
      </c>
      <c r="G20" s="136"/>
      <c r="H20" s="134">
        <f t="shared" si="155"/>
        <v>0</v>
      </c>
      <c r="I20" s="136"/>
      <c r="J20" s="134">
        <f t="shared" si="156"/>
        <v>0</v>
      </c>
      <c r="K20" s="136"/>
      <c r="L20" s="134">
        <f t="shared" si="157"/>
        <v>0</v>
      </c>
      <c r="M20" s="136"/>
      <c r="N20" s="134">
        <f t="shared" si="158"/>
        <v>0</v>
      </c>
      <c r="O20" s="136"/>
      <c r="P20" s="134">
        <f t="shared" si="159"/>
        <v>0</v>
      </c>
      <c r="Q20" s="136"/>
      <c r="R20" s="134">
        <f t="shared" si="160"/>
        <v>0</v>
      </c>
      <c r="S20" s="136"/>
      <c r="T20" s="134">
        <f t="shared" si="161"/>
        <v>0</v>
      </c>
      <c r="U20" s="137"/>
      <c r="V20" s="134">
        <f t="shared" si="162"/>
        <v>0</v>
      </c>
      <c r="W20" s="136"/>
      <c r="X20" s="134">
        <f t="shared" ref="X20" si="251">IF(W20=0,0,MAX(0,IF(W$4&gt;18,IF($D20&lt;=W$4,2,1),IF($C20&lt;=W$4,1,0))-W20+$B20+2))</f>
        <v>0</v>
      </c>
      <c r="Y20" s="136"/>
      <c r="Z20" s="134">
        <f t="shared" ref="Z20" si="252">IF(Y20=0,0,MAX(0,IF(Y$4&gt;18,IF($D20&lt;=Y$4,2,1),IF($C20&lt;=Y$4,1,0))-Y20+$B20+2))</f>
        <v>0</v>
      </c>
      <c r="AA20" s="136"/>
      <c r="AB20" s="134">
        <f t="shared" ref="AB20" si="253">IF(AA20=0,0,MAX(0,IF(AA$4&gt;18,IF($D20&lt;=AA$4,2,1),IF($C20&lt;=AA$4,1,0))-AA20+$B20+2))</f>
        <v>0</v>
      </c>
      <c r="AC20" s="136"/>
      <c r="AD20" s="134">
        <f t="shared" ref="AD20" si="254">IF(AC20=0,0,MAX(0,IF(AC$4&gt;18,IF($D20&lt;=AC$4,2,1),IF($C20&lt;=AC$4,1,0))-AC20+$B20+2))</f>
        <v>0</v>
      </c>
      <c r="AE20" s="136"/>
      <c r="AF20" s="134">
        <f t="shared" ref="AF20" si="255">IF(AE20=0,0,MAX(0,IF(AE$4&gt;18,IF($D20&lt;=AE$4,2,1),IF($C20&lt;=AE$4,1,0))-AE20+$B20+2))</f>
        <v>0</v>
      </c>
      <c r="AG20" s="136"/>
      <c r="AH20" s="134">
        <f t="shared" ref="AH20:AJ20" si="256">IF(AG20=0,0,MAX(0,IF(AG$4&gt;18,IF($D20&lt;=AG$4,2,1),IF($C20&lt;=AG$4,1,0))-AG20+$B20+2))</f>
        <v>0</v>
      </c>
      <c r="AI20" s="137"/>
      <c r="AJ20" s="135">
        <f t="shared" si="256"/>
        <v>0</v>
      </c>
      <c r="AL20" s="88">
        <v>15</v>
      </c>
      <c r="AM20" s="2">
        <v>4</v>
      </c>
      <c r="AN20" s="100">
        <v>7</v>
      </c>
      <c r="AO20" s="125">
        <f t="shared" si="150"/>
        <v>25</v>
      </c>
      <c r="AP20" s="113"/>
      <c r="AQ20" s="134">
        <f t="shared" si="169"/>
        <v>0</v>
      </c>
      <c r="AR20" s="136"/>
      <c r="AS20" s="134">
        <f t="shared" si="170"/>
        <v>0</v>
      </c>
      <c r="AT20" s="136"/>
      <c r="AU20" s="134">
        <f t="shared" si="171"/>
        <v>0</v>
      </c>
      <c r="AV20" s="136"/>
      <c r="AW20" s="134">
        <f t="shared" si="172"/>
        <v>0</v>
      </c>
      <c r="AX20" s="136"/>
      <c r="AY20" s="134">
        <f t="shared" si="173"/>
        <v>0</v>
      </c>
      <c r="AZ20" s="136"/>
      <c r="BA20" s="134">
        <f t="shared" si="174"/>
        <v>0</v>
      </c>
      <c r="BB20" s="136"/>
      <c r="BC20" s="134">
        <f t="shared" si="175"/>
        <v>0</v>
      </c>
      <c r="BD20" s="136"/>
      <c r="BE20" s="134">
        <f t="shared" si="176"/>
        <v>0</v>
      </c>
      <c r="BF20" s="137"/>
      <c r="BG20" s="134">
        <f t="shared" si="177"/>
        <v>0</v>
      </c>
      <c r="BH20" s="136"/>
      <c r="BI20" s="134">
        <f t="shared" si="178"/>
        <v>0</v>
      </c>
      <c r="BJ20" s="136"/>
      <c r="BK20" s="134">
        <f t="shared" si="179"/>
        <v>0</v>
      </c>
      <c r="BL20" s="136"/>
      <c r="BM20" s="134">
        <f t="shared" si="180"/>
        <v>0</v>
      </c>
      <c r="BN20" s="136"/>
      <c r="BO20" s="134">
        <f t="shared" si="181"/>
        <v>0</v>
      </c>
      <c r="BP20" s="136"/>
      <c r="BQ20" s="134">
        <f t="shared" si="182"/>
        <v>0</v>
      </c>
      <c r="BR20" s="136"/>
      <c r="BS20" s="134">
        <f t="shared" si="183"/>
        <v>0</v>
      </c>
      <c r="BT20" s="137"/>
      <c r="BU20" s="135">
        <f t="shared" si="184"/>
        <v>0</v>
      </c>
      <c r="BW20" s="88">
        <v>15</v>
      </c>
      <c r="BX20" s="2">
        <v>4</v>
      </c>
      <c r="BY20" s="100">
        <v>7</v>
      </c>
      <c r="BZ20" s="125">
        <f t="shared" si="151"/>
        <v>25</v>
      </c>
      <c r="CA20" s="113"/>
      <c r="CB20" s="134">
        <f t="shared" si="185"/>
        <v>0</v>
      </c>
      <c r="CC20" s="136"/>
      <c r="CD20" s="134">
        <f t="shared" si="186"/>
        <v>0</v>
      </c>
      <c r="CE20" s="136"/>
      <c r="CF20" s="134">
        <f t="shared" si="187"/>
        <v>0</v>
      </c>
      <c r="CG20" s="136"/>
      <c r="CH20" s="134">
        <f t="shared" si="188"/>
        <v>0</v>
      </c>
      <c r="CI20" s="136"/>
      <c r="CJ20" s="134">
        <f t="shared" si="189"/>
        <v>0</v>
      </c>
      <c r="CK20" s="136"/>
      <c r="CL20" s="134">
        <f t="shared" si="190"/>
        <v>0</v>
      </c>
      <c r="CM20" s="136"/>
      <c r="CN20" s="134">
        <f t="shared" si="191"/>
        <v>0</v>
      </c>
      <c r="CO20" s="136"/>
      <c r="CP20" s="134">
        <f t="shared" si="192"/>
        <v>0</v>
      </c>
      <c r="CQ20" s="137"/>
      <c r="CR20" s="134">
        <f t="shared" si="193"/>
        <v>0</v>
      </c>
      <c r="CS20" s="136"/>
      <c r="CT20" s="134">
        <f t="shared" si="194"/>
        <v>0</v>
      </c>
      <c r="CU20" s="136"/>
      <c r="CV20" s="134">
        <f t="shared" si="195"/>
        <v>0</v>
      </c>
      <c r="CW20" s="136"/>
      <c r="CX20" s="134">
        <f t="shared" si="196"/>
        <v>0</v>
      </c>
      <c r="CY20" s="136"/>
      <c r="CZ20" s="134">
        <f t="shared" si="197"/>
        <v>0</v>
      </c>
      <c r="DA20" s="136"/>
      <c r="DB20" s="134">
        <f t="shared" si="198"/>
        <v>0</v>
      </c>
      <c r="DC20" s="136"/>
      <c r="DD20" s="134">
        <f t="shared" si="199"/>
        <v>0</v>
      </c>
      <c r="DE20" s="137"/>
      <c r="DF20" s="135">
        <f t="shared" si="200"/>
        <v>0</v>
      </c>
      <c r="DH20" s="88">
        <v>15</v>
      </c>
      <c r="DI20" s="2">
        <v>4</v>
      </c>
      <c r="DJ20" s="100">
        <v>7</v>
      </c>
      <c r="DK20" s="125">
        <f t="shared" si="152"/>
        <v>25</v>
      </c>
      <c r="DL20" s="113"/>
      <c r="DM20" s="134">
        <f t="shared" si="201"/>
        <v>0</v>
      </c>
      <c r="DN20" s="136"/>
      <c r="DO20" s="134">
        <f t="shared" si="202"/>
        <v>0</v>
      </c>
      <c r="DP20" s="136"/>
      <c r="DQ20" s="134">
        <f t="shared" si="203"/>
        <v>0</v>
      </c>
      <c r="DR20" s="136"/>
      <c r="DS20" s="134">
        <f t="shared" si="204"/>
        <v>0</v>
      </c>
      <c r="DT20" s="136"/>
      <c r="DU20" s="134">
        <f t="shared" si="205"/>
        <v>0</v>
      </c>
      <c r="DV20" s="136"/>
      <c r="DW20" s="134">
        <f t="shared" si="206"/>
        <v>0</v>
      </c>
      <c r="DX20" s="136"/>
      <c r="DY20" s="134">
        <f t="shared" si="207"/>
        <v>0</v>
      </c>
      <c r="DZ20" s="136"/>
      <c r="EA20" s="134">
        <f t="shared" si="208"/>
        <v>0</v>
      </c>
      <c r="EB20" s="137"/>
      <c r="EC20" s="134">
        <f t="shared" si="209"/>
        <v>0</v>
      </c>
      <c r="ED20" s="136"/>
      <c r="EE20" s="134">
        <f t="shared" si="210"/>
        <v>0</v>
      </c>
      <c r="EF20" s="136"/>
      <c r="EG20" s="134">
        <f t="shared" si="211"/>
        <v>0</v>
      </c>
      <c r="EH20" s="136"/>
      <c r="EI20" s="134">
        <f t="shared" si="212"/>
        <v>0</v>
      </c>
      <c r="EJ20" s="136"/>
      <c r="EK20" s="134">
        <f t="shared" si="213"/>
        <v>0</v>
      </c>
      <c r="EL20" s="136"/>
      <c r="EM20" s="134">
        <f t="shared" si="214"/>
        <v>0</v>
      </c>
      <c r="EN20" s="136"/>
      <c r="EO20" s="134">
        <f t="shared" si="215"/>
        <v>0</v>
      </c>
      <c r="EP20" s="137"/>
      <c r="EQ20" s="135">
        <f t="shared" si="216"/>
        <v>0</v>
      </c>
      <c r="ES20" s="88">
        <v>15</v>
      </c>
      <c r="ET20" s="2">
        <v>4</v>
      </c>
      <c r="EU20" s="100">
        <v>7</v>
      </c>
      <c r="EV20" s="125">
        <f t="shared" si="153"/>
        <v>25</v>
      </c>
      <c r="EW20" s="113"/>
      <c r="EX20" s="134">
        <f t="shared" si="217"/>
        <v>0</v>
      </c>
      <c r="EY20" s="136"/>
      <c r="EZ20" s="134">
        <f t="shared" si="218"/>
        <v>0</v>
      </c>
      <c r="FA20" s="136"/>
      <c r="FB20" s="134">
        <f t="shared" si="219"/>
        <v>0</v>
      </c>
      <c r="FC20" s="136"/>
      <c r="FD20" s="134">
        <f t="shared" si="220"/>
        <v>0</v>
      </c>
      <c r="FE20" s="136"/>
      <c r="FF20" s="134">
        <f t="shared" si="221"/>
        <v>0</v>
      </c>
      <c r="FG20" s="136"/>
      <c r="FH20" s="134">
        <f t="shared" si="222"/>
        <v>0</v>
      </c>
      <c r="FI20" s="136"/>
      <c r="FJ20" s="134">
        <f t="shared" si="223"/>
        <v>0</v>
      </c>
      <c r="FK20" s="136"/>
      <c r="FL20" s="134">
        <f t="shared" si="224"/>
        <v>0</v>
      </c>
      <c r="FM20" s="137"/>
      <c r="FN20" s="134">
        <f t="shared" si="225"/>
        <v>0</v>
      </c>
      <c r="FO20" s="136"/>
      <c r="FP20" s="134">
        <f t="shared" si="226"/>
        <v>0</v>
      </c>
      <c r="FQ20" s="136"/>
      <c r="FR20" s="134">
        <f t="shared" si="227"/>
        <v>0</v>
      </c>
      <c r="FS20" s="136"/>
      <c r="FT20" s="134">
        <f t="shared" si="228"/>
        <v>0</v>
      </c>
      <c r="FU20" s="136"/>
      <c r="FV20" s="134">
        <f t="shared" si="229"/>
        <v>0</v>
      </c>
      <c r="FW20" s="136"/>
      <c r="FX20" s="134">
        <f t="shared" si="230"/>
        <v>0</v>
      </c>
      <c r="FY20" s="136"/>
      <c r="FZ20" s="134">
        <f t="shared" si="231"/>
        <v>0</v>
      </c>
      <c r="GA20" s="137"/>
      <c r="GB20" s="135">
        <f t="shared" si="232"/>
        <v>0</v>
      </c>
    </row>
    <row r="21" spans="1:184">
      <c r="A21" s="88">
        <v>16</v>
      </c>
      <c r="B21" s="2">
        <v>5</v>
      </c>
      <c r="C21" s="100">
        <v>9</v>
      </c>
      <c r="D21" s="125">
        <f t="shared" si="0"/>
        <v>27</v>
      </c>
      <c r="E21" s="113"/>
      <c r="F21" s="134">
        <f t="shared" si="154"/>
        <v>0</v>
      </c>
      <c r="G21" s="136"/>
      <c r="H21" s="134">
        <f t="shared" si="155"/>
        <v>0</v>
      </c>
      <c r="I21" s="136"/>
      <c r="J21" s="134">
        <f t="shared" si="156"/>
        <v>0</v>
      </c>
      <c r="K21" s="136"/>
      <c r="L21" s="134">
        <f t="shared" si="157"/>
        <v>0</v>
      </c>
      <c r="M21" s="136"/>
      <c r="N21" s="134">
        <f t="shared" si="158"/>
        <v>0</v>
      </c>
      <c r="O21" s="136"/>
      <c r="P21" s="134">
        <f t="shared" si="159"/>
        <v>0</v>
      </c>
      <c r="Q21" s="136"/>
      <c r="R21" s="134">
        <f t="shared" si="160"/>
        <v>0</v>
      </c>
      <c r="S21" s="136"/>
      <c r="T21" s="134">
        <f t="shared" si="161"/>
        <v>0</v>
      </c>
      <c r="U21" s="137"/>
      <c r="V21" s="134">
        <f t="shared" si="162"/>
        <v>0</v>
      </c>
      <c r="W21" s="136"/>
      <c r="X21" s="134">
        <f t="shared" ref="X21" si="257">IF(W21=0,0,MAX(0,IF(W$4&gt;18,IF($D21&lt;=W$4,2,1),IF($C21&lt;=W$4,1,0))-W21+$B21+2))</f>
        <v>0</v>
      </c>
      <c r="Y21" s="136"/>
      <c r="Z21" s="134">
        <f t="shared" ref="Z21" si="258">IF(Y21=0,0,MAX(0,IF(Y$4&gt;18,IF($D21&lt;=Y$4,2,1),IF($C21&lt;=Y$4,1,0))-Y21+$B21+2))</f>
        <v>0</v>
      </c>
      <c r="AA21" s="136"/>
      <c r="AB21" s="134">
        <f t="shared" ref="AB21" si="259">IF(AA21=0,0,MAX(0,IF(AA$4&gt;18,IF($D21&lt;=AA$4,2,1),IF($C21&lt;=AA$4,1,0))-AA21+$B21+2))</f>
        <v>0</v>
      </c>
      <c r="AC21" s="136"/>
      <c r="AD21" s="134">
        <f t="shared" ref="AD21" si="260">IF(AC21=0,0,MAX(0,IF(AC$4&gt;18,IF($D21&lt;=AC$4,2,1),IF($C21&lt;=AC$4,1,0))-AC21+$B21+2))</f>
        <v>0</v>
      </c>
      <c r="AE21" s="136"/>
      <c r="AF21" s="134">
        <f t="shared" ref="AF21" si="261">IF(AE21=0,0,MAX(0,IF(AE$4&gt;18,IF($D21&lt;=AE$4,2,1),IF($C21&lt;=AE$4,1,0))-AE21+$B21+2))</f>
        <v>0</v>
      </c>
      <c r="AG21" s="136"/>
      <c r="AH21" s="134">
        <f t="shared" ref="AH21:AJ21" si="262">IF(AG21=0,0,MAX(0,IF(AG$4&gt;18,IF($D21&lt;=AG$4,2,1),IF($C21&lt;=AG$4,1,0))-AG21+$B21+2))</f>
        <v>0</v>
      </c>
      <c r="AI21" s="137"/>
      <c r="AJ21" s="135">
        <f t="shared" si="262"/>
        <v>0</v>
      </c>
      <c r="AL21" s="88">
        <v>16</v>
      </c>
      <c r="AM21" s="2">
        <v>5</v>
      </c>
      <c r="AN21" s="100">
        <v>9</v>
      </c>
      <c r="AO21" s="125">
        <f t="shared" si="150"/>
        <v>27</v>
      </c>
      <c r="AP21" s="113"/>
      <c r="AQ21" s="134">
        <f t="shared" si="169"/>
        <v>0</v>
      </c>
      <c r="AR21" s="136"/>
      <c r="AS21" s="134">
        <f t="shared" si="170"/>
        <v>0</v>
      </c>
      <c r="AT21" s="136"/>
      <c r="AU21" s="134">
        <f t="shared" si="171"/>
        <v>0</v>
      </c>
      <c r="AV21" s="136"/>
      <c r="AW21" s="134">
        <f t="shared" si="172"/>
        <v>0</v>
      </c>
      <c r="AX21" s="136"/>
      <c r="AY21" s="134">
        <f t="shared" si="173"/>
        <v>0</v>
      </c>
      <c r="AZ21" s="136"/>
      <c r="BA21" s="134">
        <f t="shared" si="174"/>
        <v>0</v>
      </c>
      <c r="BB21" s="136"/>
      <c r="BC21" s="134">
        <f t="shared" si="175"/>
        <v>0</v>
      </c>
      <c r="BD21" s="136"/>
      <c r="BE21" s="134">
        <f t="shared" si="176"/>
        <v>0</v>
      </c>
      <c r="BF21" s="137"/>
      <c r="BG21" s="134">
        <f t="shared" si="177"/>
        <v>0</v>
      </c>
      <c r="BH21" s="136"/>
      <c r="BI21" s="134">
        <f t="shared" si="178"/>
        <v>0</v>
      </c>
      <c r="BJ21" s="136"/>
      <c r="BK21" s="134">
        <f t="shared" si="179"/>
        <v>0</v>
      </c>
      <c r="BL21" s="136"/>
      <c r="BM21" s="134">
        <f t="shared" si="180"/>
        <v>0</v>
      </c>
      <c r="BN21" s="136"/>
      <c r="BO21" s="134">
        <f t="shared" si="181"/>
        <v>0</v>
      </c>
      <c r="BP21" s="136"/>
      <c r="BQ21" s="134">
        <f t="shared" si="182"/>
        <v>0</v>
      </c>
      <c r="BR21" s="136"/>
      <c r="BS21" s="134">
        <f t="shared" si="183"/>
        <v>0</v>
      </c>
      <c r="BT21" s="137"/>
      <c r="BU21" s="135">
        <f t="shared" si="184"/>
        <v>0</v>
      </c>
      <c r="BW21" s="88">
        <v>16</v>
      </c>
      <c r="BX21" s="2">
        <v>5</v>
      </c>
      <c r="BY21" s="100">
        <v>9</v>
      </c>
      <c r="BZ21" s="125">
        <f t="shared" si="151"/>
        <v>27</v>
      </c>
      <c r="CA21" s="113"/>
      <c r="CB21" s="134">
        <f t="shared" si="185"/>
        <v>0</v>
      </c>
      <c r="CC21" s="136"/>
      <c r="CD21" s="134">
        <f t="shared" si="186"/>
        <v>0</v>
      </c>
      <c r="CE21" s="136"/>
      <c r="CF21" s="134">
        <f t="shared" si="187"/>
        <v>0</v>
      </c>
      <c r="CG21" s="136"/>
      <c r="CH21" s="134">
        <f t="shared" si="188"/>
        <v>0</v>
      </c>
      <c r="CI21" s="136"/>
      <c r="CJ21" s="134">
        <f t="shared" si="189"/>
        <v>0</v>
      </c>
      <c r="CK21" s="136"/>
      <c r="CL21" s="134">
        <f t="shared" si="190"/>
        <v>0</v>
      </c>
      <c r="CM21" s="136"/>
      <c r="CN21" s="134">
        <f t="shared" si="191"/>
        <v>0</v>
      </c>
      <c r="CO21" s="136"/>
      <c r="CP21" s="134">
        <f t="shared" si="192"/>
        <v>0</v>
      </c>
      <c r="CQ21" s="137"/>
      <c r="CR21" s="134">
        <f t="shared" si="193"/>
        <v>0</v>
      </c>
      <c r="CS21" s="136"/>
      <c r="CT21" s="134">
        <f t="shared" si="194"/>
        <v>0</v>
      </c>
      <c r="CU21" s="136"/>
      <c r="CV21" s="134">
        <f t="shared" si="195"/>
        <v>0</v>
      </c>
      <c r="CW21" s="136"/>
      <c r="CX21" s="134">
        <f t="shared" si="196"/>
        <v>0</v>
      </c>
      <c r="CY21" s="136"/>
      <c r="CZ21" s="134">
        <f t="shared" si="197"/>
        <v>0</v>
      </c>
      <c r="DA21" s="136"/>
      <c r="DB21" s="134">
        <f t="shared" si="198"/>
        <v>0</v>
      </c>
      <c r="DC21" s="136"/>
      <c r="DD21" s="134">
        <f t="shared" si="199"/>
        <v>0</v>
      </c>
      <c r="DE21" s="137"/>
      <c r="DF21" s="135">
        <f t="shared" si="200"/>
        <v>0</v>
      </c>
      <c r="DH21" s="88">
        <v>16</v>
      </c>
      <c r="DI21" s="2">
        <v>5</v>
      </c>
      <c r="DJ21" s="100">
        <v>9</v>
      </c>
      <c r="DK21" s="125">
        <f t="shared" si="152"/>
        <v>27</v>
      </c>
      <c r="DL21" s="113"/>
      <c r="DM21" s="134">
        <f t="shared" si="201"/>
        <v>0</v>
      </c>
      <c r="DN21" s="136"/>
      <c r="DO21" s="134">
        <f t="shared" si="202"/>
        <v>0</v>
      </c>
      <c r="DP21" s="136"/>
      <c r="DQ21" s="134">
        <f t="shared" si="203"/>
        <v>0</v>
      </c>
      <c r="DR21" s="136"/>
      <c r="DS21" s="134">
        <f t="shared" si="204"/>
        <v>0</v>
      </c>
      <c r="DT21" s="136"/>
      <c r="DU21" s="134">
        <f t="shared" si="205"/>
        <v>0</v>
      </c>
      <c r="DV21" s="136"/>
      <c r="DW21" s="134">
        <f t="shared" si="206"/>
        <v>0</v>
      </c>
      <c r="DX21" s="136"/>
      <c r="DY21" s="134">
        <f t="shared" si="207"/>
        <v>0</v>
      </c>
      <c r="DZ21" s="136"/>
      <c r="EA21" s="134">
        <f t="shared" si="208"/>
        <v>0</v>
      </c>
      <c r="EB21" s="137"/>
      <c r="EC21" s="134">
        <f t="shared" si="209"/>
        <v>0</v>
      </c>
      <c r="ED21" s="136"/>
      <c r="EE21" s="134">
        <f t="shared" si="210"/>
        <v>0</v>
      </c>
      <c r="EF21" s="136"/>
      <c r="EG21" s="134">
        <f t="shared" si="211"/>
        <v>0</v>
      </c>
      <c r="EH21" s="136"/>
      <c r="EI21" s="134">
        <f t="shared" si="212"/>
        <v>0</v>
      </c>
      <c r="EJ21" s="136"/>
      <c r="EK21" s="134">
        <f t="shared" si="213"/>
        <v>0</v>
      </c>
      <c r="EL21" s="136"/>
      <c r="EM21" s="134">
        <f t="shared" si="214"/>
        <v>0</v>
      </c>
      <c r="EN21" s="136"/>
      <c r="EO21" s="134">
        <f t="shared" si="215"/>
        <v>0</v>
      </c>
      <c r="EP21" s="137"/>
      <c r="EQ21" s="135">
        <f t="shared" si="216"/>
        <v>0</v>
      </c>
      <c r="ES21" s="88">
        <v>16</v>
      </c>
      <c r="ET21" s="2">
        <v>5</v>
      </c>
      <c r="EU21" s="100">
        <v>9</v>
      </c>
      <c r="EV21" s="125">
        <f t="shared" si="153"/>
        <v>27</v>
      </c>
      <c r="EW21" s="113"/>
      <c r="EX21" s="134">
        <f t="shared" si="217"/>
        <v>0</v>
      </c>
      <c r="EY21" s="136"/>
      <c r="EZ21" s="134">
        <f t="shared" si="218"/>
        <v>0</v>
      </c>
      <c r="FA21" s="136"/>
      <c r="FB21" s="134">
        <f t="shared" si="219"/>
        <v>0</v>
      </c>
      <c r="FC21" s="136"/>
      <c r="FD21" s="134">
        <f t="shared" si="220"/>
        <v>0</v>
      </c>
      <c r="FE21" s="136"/>
      <c r="FF21" s="134">
        <f t="shared" si="221"/>
        <v>0</v>
      </c>
      <c r="FG21" s="136"/>
      <c r="FH21" s="134">
        <f t="shared" si="222"/>
        <v>0</v>
      </c>
      <c r="FI21" s="136"/>
      <c r="FJ21" s="134">
        <f t="shared" si="223"/>
        <v>0</v>
      </c>
      <c r="FK21" s="136"/>
      <c r="FL21" s="134">
        <f t="shared" si="224"/>
        <v>0</v>
      </c>
      <c r="FM21" s="137"/>
      <c r="FN21" s="134">
        <f t="shared" si="225"/>
        <v>0</v>
      </c>
      <c r="FO21" s="136"/>
      <c r="FP21" s="134">
        <f t="shared" si="226"/>
        <v>0</v>
      </c>
      <c r="FQ21" s="136"/>
      <c r="FR21" s="134">
        <f t="shared" si="227"/>
        <v>0</v>
      </c>
      <c r="FS21" s="136"/>
      <c r="FT21" s="134">
        <f t="shared" si="228"/>
        <v>0</v>
      </c>
      <c r="FU21" s="136"/>
      <c r="FV21" s="134">
        <f t="shared" si="229"/>
        <v>0</v>
      </c>
      <c r="FW21" s="136"/>
      <c r="FX21" s="134">
        <f t="shared" si="230"/>
        <v>0</v>
      </c>
      <c r="FY21" s="136"/>
      <c r="FZ21" s="134">
        <f t="shared" si="231"/>
        <v>0</v>
      </c>
      <c r="GA21" s="137"/>
      <c r="GB21" s="135">
        <f t="shared" si="232"/>
        <v>0</v>
      </c>
    </row>
    <row r="22" spans="1:184">
      <c r="A22" s="88">
        <v>17</v>
      </c>
      <c r="B22" s="2">
        <v>3</v>
      </c>
      <c r="C22" s="100">
        <v>5</v>
      </c>
      <c r="D22" s="125">
        <f t="shared" si="0"/>
        <v>23</v>
      </c>
      <c r="E22" s="113"/>
      <c r="F22" s="134">
        <f t="shared" si="154"/>
        <v>0</v>
      </c>
      <c r="G22" s="136"/>
      <c r="H22" s="134">
        <f t="shared" si="155"/>
        <v>0</v>
      </c>
      <c r="I22" s="136"/>
      <c r="J22" s="134">
        <f t="shared" si="156"/>
        <v>0</v>
      </c>
      <c r="K22" s="136"/>
      <c r="L22" s="134">
        <f t="shared" si="157"/>
        <v>0</v>
      </c>
      <c r="M22" s="136"/>
      <c r="N22" s="134">
        <f t="shared" si="158"/>
        <v>0</v>
      </c>
      <c r="O22" s="136"/>
      <c r="P22" s="134">
        <f t="shared" si="159"/>
        <v>0</v>
      </c>
      <c r="Q22" s="136"/>
      <c r="R22" s="134">
        <f t="shared" si="160"/>
        <v>0</v>
      </c>
      <c r="S22" s="136"/>
      <c r="T22" s="134">
        <f t="shared" si="161"/>
        <v>0</v>
      </c>
      <c r="U22" s="137"/>
      <c r="V22" s="134">
        <f t="shared" si="162"/>
        <v>0</v>
      </c>
      <c r="W22" s="136"/>
      <c r="X22" s="134">
        <f t="shared" ref="X22" si="263">IF(W22=0,0,MAX(0,IF(W$4&gt;18,IF($D22&lt;=W$4,2,1),IF($C22&lt;=W$4,1,0))-W22+$B22+2))</f>
        <v>0</v>
      </c>
      <c r="Y22" s="136"/>
      <c r="Z22" s="134">
        <f t="shared" ref="Z22" si="264">IF(Y22=0,0,MAX(0,IF(Y$4&gt;18,IF($D22&lt;=Y$4,2,1),IF($C22&lt;=Y$4,1,0))-Y22+$B22+2))</f>
        <v>0</v>
      </c>
      <c r="AA22" s="136"/>
      <c r="AB22" s="134">
        <f t="shared" ref="AB22" si="265">IF(AA22=0,0,MAX(0,IF(AA$4&gt;18,IF($D22&lt;=AA$4,2,1),IF($C22&lt;=AA$4,1,0))-AA22+$B22+2))</f>
        <v>0</v>
      </c>
      <c r="AC22" s="136"/>
      <c r="AD22" s="134">
        <f t="shared" ref="AD22" si="266">IF(AC22=0,0,MAX(0,IF(AC$4&gt;18,IF($D22&lt;=AC$4,2,1),IF($C22&lt;=AC$4,1,0))-AC22+$B22+2))</f>
        <v>0</v>
      </c>
      <c r="AE22" s="136"/>
      <c r="AF22" s="134">
        <f t="shared" ref="AF22" si="267">IF(AE22=0,0,MAX(0,IF(AE$4&gt;18,IF($D22&lt;=AE$4,2,1),IF($C22&lt;=AE$4,1,0))-AE22+$B22+2))</f>
        <v>0</v>
      </c>
      <c r="AG22" s="136"/>
      <c r="AH22" s="134">
        <f t="shared" ref="AH22:AJ22" si="268">IF(AG22=0,0,MAX(0,IF(AG$4&gt;18,IF($D22&lt;=AG$4,2,1),IF($C22&lt;=AG$4,1,0))-AG22+$B22+2))</f>
        <v>0</v>
      </c>
      <c r="AI22" s="137"/>
      <c r="AJ22" s="135">
        <f t="shared" si="268"/>
        <v>0</v>
      </c>
      <c r="AL22" s="88">
        <v>17</v>
      </c>
      <c r="AM22" s="2">
        <v>3</v>
      </c>
      <c r="AN22" s="100">
        <v>5</v>
      </c>
      <c r="AO22" s="125">
        <f t="shared" si="150"/>
        <v>23</v>
      </c>
      <c r="AP22" s="113"/>
      <c r="AQ22" s="134">
        <f t="shared" si="169"/>
        <v>0</v>
      </c>
      <c r="AR22" s="136"/>
      <c r="AS22" s="134">
        <f t="shared" si="170"/>
        <v>0</v>
      </c>
      <c r="AT22" s="136"/>
      <c r="AU22" s="134">
        <f t="shared" si="171"/>
        <v>0</v>
      </c>
      <c r="AV22" s="136"/>
      <c r="AW22" s="134">
        <f t="shared" si="172"/>
        <v>0</v>
      </c>
      <c r="AX22" s="136"/>
      <c r="AY22" s="134">
        <f t="shared" si="173"/>
        <v>0</v>
      </c>
      <c r="AZ22" s="136"/>
      <c r="BA22" s="134">
        <f t="shared" si="174"/>
        <v>0</v>
      </c>
      <c r="BB22" s="136"/>
      <c r="BC22" s="134">
        <f t="shared" si="175"/>
        <v>0</v>
      </c>
      <c r="BD22" s="136"/>
      <c r="BE22" s="134">
        <f t="shared" si="176"/>
        <v>0</v>
      </c>
      <c r="BF22" s="137"/>
      <c r="BG22" s="134">
        <f t="shared" si="177"/>
        <v>0</v>
      </c>
      <c r="BH22" s="136"/>
      <c r="BI22" s="134">
        <f t="shared" si="178"/>
        <v>0</v>
      </c>
      <c r="BJ22" s="136"/>
      <c r="BK22" s="134">
        <f t="shared" si="179"/>
        <v>0</v>
      </c>
      <c r="BL22" s="136"/>
      <c r="BM22" s="134">
        <f t="shared" si="180"/>
        <v>0</v>
      </c>
      <c r="BN22" s="136"/>
      <c r="BO22" s="134">
        <f t="shared" si="181"/>
        <v>0</v>
      </c>
      <c r="BP22" s="136"/>
      <c r="BQ22" s="134">
        <f t="shared" si="182"/>
        <v>0</v>
      </c>
      <c r="BR22" s="136"/>
      <c r="BS22" s="134">
        <f t="shared" si="183"/>
        <v>0</v>
      </c>
      <c r="BT22" s="137"/>
      <c r="BU22" s="135">
        <f t="shared" si="184"/>
        <v>0</v>
      </c>
      <c r="BW22" s="88">
        <v>17</v>
      </c>
      <c r="BX22" s="2">
        <v>3</v>
      </c>
      <c r="BY22" s="100">
        <v>5</v>
      </c>
      <c r="BZ22" s="125">
        <f t="shared" si="151"/>
        <v>23</v>
      </c>
      <c r="CA22" s="113"/>
      <c r="CB22" s="134">
        <f t="shared" si="185"/>
        <v>0</v>
      </c>
      <c r="CC22" s="136"/>
      <c r="CD22" s="134">
        <f t="shared" si="186"/>
        <v>0</v>
      </c>
      <c r="CE22" s="136"/>
      <c r="CF22" s="134">
        <f t="shared" si="187"/>
        <v>0</v>
      </c>
      <c r="CG22" s="136"/>
      <c r="CH22" s="134">
        <f t="shared" si="188"/>
        <v>0</v>
      </c>
      <c r="CI22" s="136"/>
      <c r="CJ22" s="134">
        <f t="shared" si="189"/>
        <v>0</v>
      </c>
      <c r="CK22" s="136"/>
      <c r="CL22" s="134">
        <f t="shared" si="190"/>
        <v>0</v>
      </c>
      <c r="CM22" s="136"/>
      <c r="CN22" s="134">
        <f t="shared" si="191"/>
        <v>0</v>
      </c>
      <c r="CO22" s="136"/>
      <c r="CP22" s="134">
        <f t="shared" si="192"/>
        <v>0</v>
      </c>
      <c r="CQ22" s="137"/>
      <c r="CR22" s="134">
        <f t="shared" si="193"/>
        <v>0</v>
      </c>
      <c r="CS22" s="136"/>
      <c r="CT22" s="134">
        <f t="shared" si="194"/>
        <v>0</v>
      </c>
      <c r="CU22" s="136"/>
      <c r="CV22" s="134">
        <f t="shared" si="195"/>
        <v>0</v>
      </c>
      <c r="CW22" s="136"/>
      <c r="CX22" s="134">
        <f t="shared" si="196"/>
        <v>0</v>
      </c>
      <c r="CY22" s="136"/>
      <c r="CZ22" s="134">
        <f t="shared" si="197"/>
        <v>0</v>
      </c>
      <c r="DA22" s="136"/>
      <c r="DB22" s="134">
        <f t="shared" si="198"/>
        <v>0</v>
      </c>
      <c r="DC22" s="136"/>
      <c r="DD22" s="134">
        <f t="shared" si="199"/>
        <v>0</v>
      </c>
      <c r="DE22" s="137"/>
      <c r="DF22" s="135">
        <f t="shared" si="200"/>
        <v>0</v>
      </c>
      <c r="DH22" s="88">
        <v>17</v>
      </c>
      <c r="DI22" s="2">
        <v>3</v>
      </c>
      <c r="DJ22" s="100">
        <v>5</v>
      </c>
      <c r="DK22" s="125">
        <f t="shared" si="152"/>
        <v>23</v>
      </c>
      <c r="DL22" s="113"/>
      <c r="DM22" s="134">
        <f t="shared" si="201"/>
        <v>0</v>
      </c>
      <c r="DN22" s="136"/>
      <c r="DO22" s="134">
        <f t="shared" si="202"/>
        <v>0</v>
      </c>
      <c r="DP22" s="136"/>
      <c r="DQ22" s="134">
        <f t="shared" si="203"/>
        <v>0</v>
      </c>
      <c r="DR22" s="136"/>
      <c r="DS22" s="134">
        <f t="shared" si="204"/>
        <v>0</v>
      </c>
      <c r="DT22" s="136"/>
      <c r="DU22" s="134">
        <f t="shared" si="205"/>
        <v>0</v>
      </c>
      <c r="DV22" s="136"/>
      <c r="DW22" s="134">
        <f t="shared" si="206"/>
        <v>0</v>
      </c>
      <c r="DX22" s="136"/>
      <c r="DY22" s="134">
        <f t="shared" si="207"/>
        <v>0</v>
      </c>
      <c r="DZ22" s="136"/>
      <c r="EA22" s="134">
        <f t="shared" si="208"/>
        <v>0</v>
      </c>
      <c r="EB22" s="137"/>
      <c r="EC22" s="134">
        <f t="shared" si="209"/>
        <v>0</v>
      </c>
      <c r="ED22" s="136"/>
      <c r="EE22" s="134">
        <f t="shared" si="210"/>
        <v>0</v>
      </c>
      <c r="EF22" s="136"/>
      <c r="EG22" s="134">
        <f t="shared" si="211"/>
        <v>0</v>
      </c>
      <c r="EH22" s="136"/>
      <c r="EI22" s="134">
        <f t="shared" si="212"/>
        <v>0</v>
      </c>
      <c r="EJ22" s="136"/>
      <c r="EK22" s="134">
        <f t="shared" si="213"/>
        <v>0</v>
      </c>
      <c r="EL22" s="136"/>
      <c r="EM22" s="134">
        <f t="shared" si="214"/>
        <v>0</v>
      </c>
      <c r="EN22" s="136"/>
      <c r="EO22" s="134">
        <f t="shared" si="215"/>
        <v>0</v>
      </c>
      <c r="EP22" s="137"/>
      <c r="EQ22" s="135">
        <f t="shared" si="216"/>
        <v>0</v>
      </c>
      <c r="ES22" s="88">
        <v>17</v>
      </c>
      <c r="ET22" s="2">
        <v>3</v>
      </c>
      <c r="EU22" s="100">
        <v>5</v>
      </c>
      <c r="EV22" s="125">
        <f t="shared" si="153"/>
        <v>23</v>
      </c>
      <c r="EW22" s="113"/>
      <c r="EX22" s="134">
        <f t="shared" si="217"/>
        <v>0</v>
      </c>
      <c r="EY22" s="136"/>
      <c r="EZ22" s="134">
        <f t="shared" si="218"/>
        <v>0</v>
      </c>
      <c r="FA22" s="136"/>
      <c r="FB22" s="134">
        <f t="shared" si="219"/>
        <v>0</v>
      </c>
      <c r="FC22" s="136"/>
      <c r="FD22" s="134">
        <f t="shared" si="220"/>
        <v>0</v>
      </c>
      <c r="FE22" s="136"/>
      <c r="FF22" s="134">
        <f t="shared" si="221"/>
        <v>0</v>
      </c>
      <c r="FG22" s="136"/>
      <c r="FH22" s="134">
        <f t="shared" si="222"/>
        <v>0</v>
      </c>
      <c r="FI22" s="136"/>
      <c r="FJ22" s="134">
        <f t="shared" si="223"/>
        <v>0</v>
      </c>
      <c r="FK22" s="136"/>
      <c r="FL22" s="134">
        <f t="shared" si="224"/>
        <v>0</v>
      </c>
      <c r="FM22" s="137"/>
      <c r="FN22" s="134">
        <f t="shared" si="225"/>
        <v>0</v>
      </c>
      <c r="FO22" s="136"/>
      <c r="FP22" s="134">
        <f t="shared" si="226"/>
        <v>0</v>
      </c>
      <c r="FQ22" s="136"/>
      <c r="FR22" s="134">
        <f t="shared" si="227"/>
        <v>0</v>
      </c>
      <c r="FS22" s="136"/>
      <c r="FT22" s="134">
        <f t="shared" si="228"/>
        <v>0</v>
      </c>
      <c r="FU22" s="136"/>
      <c r="FV22" s="134">
        <f t="shared" si="229"/>
        <v>0</v>
      </c>
      <c r="FW22" s="136"/>
      <c r="FX22" s="134">
        <f t="shared" si="230"/>
        <v>0</v>
      </c>
      <c r="FY22" s="136"/>
      <c r="FZ22" s="134">
        <f t="shared" si="231"/>
        <v>0</v>
      </c>
      <c r="GA22" s="137"/>
      <c r="GB22" s="135">
        <f t="shared" si="232"/>
        <v>0</v>
      </c>
    </row>
    <row r="23" spans="1:184">
      <c r="A23" s="88">
        <v>18</v>
      </c>
      <c r="B23" s="2">
        <v>5</v>
      </c>
      <c r="C23" s="100">
        <v>3</v>
      </c>
      <c r="D23" s="125">
        <f t="shared" si="0"/>
        <v>21</v>
      </c>
      <c r="E23" s="113"/>
      <c r="F23" s="134">
        <f t="shared" si="154"/>
        <v>0</v>
      </c>
      <c r="G23" s="136"/>
      <c r="H23" s="134">
        <f t="shared" si="155"/>
        <v>0</v>
      </c>
      <c r="I23" s="136"/>
      <c r="J23" s="134">
        <f t="shared" si="156"/>
        <v>0</v>
      </c>
      <c r="K23" s="136"/>
      <c r="L23" s="134">
        <f t="shared" si="157"/>
        <v>0</v>
      </c>
      <c r="M23" s="136"/>
      <c r="N23" s="134">
        <f t="shared" si="158"/>
        <v>0</v>
      </c>
      <c r="O23" s="136"/>
      <c r="P23" s="134">
        <f t="shared" si="159"/>
        <v>0</v>
      </c>
      <c r="Q23" s="136"/>
      <c r="R23" s="134">
        <f t="shared" si="160"/>
        <v>0</v>
      </c>
      <c r="S23" s="136"/>
      <c r="T23" s="134">
        <f t="shared" si="161"/>
        <v>0</v>
      </c>
      <c r="U23" s="137"/>
      <c r="V23" s="134">
        <f t="shared" si="162"/>
        <v>0</v>
      </c>
      <c r="W23" s="136"/>
      <c r="X23" s="134">
        <f t="shared" ref="X23" si="269">IF(W23=0,0,MAX(0,IF(W$4&gt;18,IF($D23&lt;=W$4,2,1),IF($C23&lt;=W$4,1,0))-W23+$B23+2))</f>
        <v>0</v>
      </c>
      <c r="Y23" s="136"/>
      <c r="Z23" s="134">
        <f t="shared" ref="Z23" si="270">IF(Y23=0,0,MAX(0,IF(Y$4&gt;18,IF($D23&lt;=Y$4,2,1),IF($C23&lt;=Y$4,1,0))-Y23+$B23+2))</f>
        <v>0</v>
      </c>
      <c r="AA23" s="136"/>
      <c r="AB23" s="134">
        <f t="shared" ref="AB23" si="271">IF(AA23=0,0,MAX(0,IF(AA$4&gt;18,IF($D23&lt;=AA$4,2,1),IF($C23&lt;=AA$4,1,0))-AA23+$B23+2))</f>
        <v>0</v>
      </c>
      <c r="AC23" s="136"/>
      <c r="AD23" s="134">
        <f t="shared" ref="AD23" si="272">IF(AC23=0,0,MAX(0,IF(AC$4&gt;18,IF($D23&lt;=AC$4,2,1),IF($C23&lt;=AC$4,1,0))-AC23+$B23+2))</f>
        <v>0</v>
      </c>
      <c r="AE23" s="136"/>
      <c r="AF23" s="134">
        <f t="shared" ref="AF23" si="273">IF(AE23=0,0,MAX(0,IF(AE$4&gt;18,IF($D23&lt;=AE$4,2,1),IF($C23&lt;=AE$4,1,0))-AE23+$B23+2))</f>
        <v>0</v>
      </c>
      <c r="AG23" s="136"/>
      <c r="AH23" s="134">
        <f t="shared" ref="AH23:AJ23" si="274">IF(AG23=0,0,MAX(0,IF(AG$4&gt;18,IF($D23&lt;=AG$4,2,1),IF($C23&lt;=AG$4,1,0))-AG23+$B23+2))</f>
        <v>0</v>
      </c>
      <c r="AI23" s="137"/>
      <c r="AJ23" s="135">
        <f t="shared" si="274"/>
        <v>0</v>
      </c>
      <c r="AL23" s="88">
        <v>18</v>
      </c>
      <c r="AM23" s="2">
        <v>5</v>
      </c>
      <c r="AN23" s="100">
        <v>3</v>
      </c>
      <c r="AO23" s="125">
        <f t="shared" si="150"/>
        <v>21</v>
      </c>
      <c r="AP23" s="113"/>
      <c r="AQ23" s="134">
        <f t="shared" si="169"/>
        <v>0</v>
      </c>
      <c r="AR23" s="136"/>
      <c r="AS23" s="134">
        <f t="shared" si="170"/>
        <v>0</v>
      </c>
      <c r="AT23" s="136"/>
      <c r="AU23" s="134">
        <f t="shared" si="171"/>
        <v>0</v>
      </c>
      <c r="AV23" s="136"/>
      <c r="AW23" s="134">
        <f t="shared" si="172"/>
        <v>0</v>
      </c>
      <c r="AX23" s="136"/>
      <c r="AY23" s="134">
        <f t="shared" si="173"/>
        <v>0</v>
      </c>
      <c r="AZ23" s="136"/>
      <c r="BA23" s="134">
        <f t="shared" si="174"/>
        <v>0</v>
      </c>
      <c r="BB23" s="136"/>
      <c r="BC23" s="134">
        <f t="shared" si="175"/>
        <v>0</v>
      </c>
      <c r="BD23" s="136"/>
      <c r="BE23" s="134">
        <f t="shared" si="176"/>
        <v>0</v>
      </c>
      <c r="BF23" s="137"/>
      <c r="BG23" s="134">
        <f t="shared" si="177"/>
        <v>0</v>
      </c>
      <c r="BH23" s="136"/>
      <c r="BI23" s="134">
        <f t="shared" si="178"/>
        <v>0</v>
      </c>
      <c r="BJ23" s="136"/>
      <c r="BK23" s="134">
        <f t="shared" si="179"/>
        <v>0</v>
      </c>
      <c r="BL23" s="136"/>
      <c r="BM23" s="134">
        <f t="shared" si="180"/>
        <v>0</v>
      </c>
      <c r="BN23" s="136"/>
      <c r="BO23" s="134">
        <f t="shared" si="181"/>
        <v>0</v>
      </c>
      <c r="BP23" s="136"/>
      <c r="BQ23" s="134">
        <f t="shared" si="182"/>
        <v>0</v>
      </c>
      <c r="BR23" s="136"/>
      <c r="BS23" s="134">
        <f t="shared" si="183"/>
        <v>0</v>
      </c>
      <c r="BT23" s="137"/>
      <c r="BU23" s="135">
        <f t="shared" si="184"/>
        <v>0</v>
      </c>
      <c r="BW23" s="88">
        <v>18</v>
      </c>
      <c r="BX23" s="2">
        <v>5</v>
      </c>
      <c r="BY23" s="100">
        <v>3</v>
      </c>
      <c r="BZ23" s="125">
        <f t="shared" si="151"/>
        <v>21</v>
      </c>
      <c r="CA23" s="113"/>
      <c r="CB23" s="134">
        <f t="shared" si="185"/>
        <v>0</v>
      </c>
      <c r="CC23" s="136"/>
      <c r="CD23" s="134">
        <f t="shared" si="186"/>
        <v>0</v>
      </c>
      <c r="CE23" s="136"/>
      <c r="CF23" s="134">
        <f t="shared" si="187"/>
        <v>0</v>
      </c>
      <c r="CG23" s="136"/>
      <c r="CH23" s="134">
        <f t="shared" si="188"/>
        <v>0</v>
      </c>
      <c r="CI23" s="136"/>
      <c r="CJ23" s="134">
        <f t="shared" si="189"/>
        <v>0</v>
      </c>
      <c r="CK23" s="136"/>
      <c r="CL23" s="134">
        <f t="shared" si="190"/>
        <v>0</v>
      </c>
      <c r="CM23" s="136"/>
      <c r="CN23" s="134">
        <f t="shared" si="191"/>
        <v>0</v>
      </c>
      <c r="CO23" s="136"/>
      <c r="CP23" s="134">
        <f t="shared" si="192"/>
        <v>0</v>
      </c>
      <c r="CQ23" s="137"/>
      <c r="CR23" s="134">
        <f t="shared" si="193"/>
        <v>0</v>
      </c>
      <c r="CS23" s="136"/>
      <c r="CT23" s="134">
        <f t="shared" si="194"/>
        <v>0</v>
      </c>
      <c r="CU23" s="136"/>
      <c r="CV23" s="134">
        <f t="shared" si="195"/>
        <v>0</v>
      </c>
      <c r="CW23" s="136"/>
      <c r="CX23" s="134">
        <f t="shared" si="196"/>
        <v>0</v>
      </c>
      <c r="CY23" s="136"/>
      <c r="CZ23" s="134">
        <f t="shared" si="197"/>
        <v>0</v>
      </c>
      <c r="DA23" s="136"/>
      <c r="DB23" s="134">
        <f t="shared" si="198"/>
        <v>0</v>
      </c>
      <c r="DC23" s="136"/>
      <c r="DD23" s="134">
        <f t="shared" si="199"/>
        <v>0</v>
      </c>
      <c r="DE23" s="137"/>
      <c r="DF23" s="135">
        <f t="shared" si="200"/>
        <v>0</v>
      </c>
      <c r="DH23" s="88">
        <v>18</v>
      </c>
      <c r="DI23" s="2">
        <v>5</v>
      </c>
      <c r="DJ23" s="100">
        <v>3</v>
      </c>
      <c r="DK23" s="125">
        <f t="shared" si="152"/>
        <v>21</v>
      </c>
      <c r="DL23" s="113"/>
      <c r="DM23" s="134">
        <f t="shared" si="201"/>
        <v>0</v>
      </c>
      <c r="DN23" s="136"/>
      <c r="DO23" s="134">
        <f t="shared" si="202"/>
        <v>0</v>
      </c>
      <c r="DP23" s="136"/>
      <c r="DQ23" s="134">
        <f t="shared" si="203"/>
        <v>0</v>
      </c>
      <c r="DR23" s="136"/>
      <c r="DS23" s="134">
        <f t="shared" si="204"/>
        <v>0</v>
      </c>
      <c r="DT23" s="136"/>
      <c r="DU23" s="134">
        <f t="shared" si="205"/>
        <v>0</v>
      </c>
      <c r="DV23" s="136"/>
      <c r="DW23" s="134">
        <f t="shared" si="206"/>
        <v>0</v>
      </c>
      <c r="DX23" s="136"/>
      <c r="DY23" s="134">
        <f t="shared" si="207"/>
        <v>0</v>
      </c>
      <c r="DZ23" s="136"/>
      <c r="EA23" s="134">
        <f t="shared" si="208"/>
        <v>0</v>
      </c>
      <c r="EB23" s="137"/>
      <c r="EC23" s="134">
        <f t="shared" si="209"/>
        <v>0</v>
      </c>
      <c r="ED23" s="136"/>
      <c r="EE23" s="134">
        <f t="shared" si="210"/>
        <v>0</v>
      </c>
      <c r="EF23" s="136"/>
      <c r="EG23" s="134">
        <f t="shared" si="211"/>
        <v>0</v>
      </c>
      <c r="EH23" s="136"/>
      <c r="EI23" s="134">
        <f t="shared" si="212"/>
        <v>0</v>
      </c>
      <c r="EJ23" s="136"/>
      <c r="EK23" s="134">
        <f t="shared" si="213"/>
        <v>0</v>
      </c>
      <c r="EL23" s="136"/>
      <c r="EM23" s="134">
        <f t="shared" si="214"/>
        <v>0</v>
      </c>
      <c r="EN23" s="136"/>
      <c r="EO23" s="134">
        <f t="shared" si="215"/>
        <v>0</v>
      </c>
      <c r="EP23" s="137"/>
      <c r="EQ23" s="135">
        <f t="shared" si="216"/>
        <v>0</v>
      </c>
      <c r="ES23" s="88">
        <v>18</v>
      </c>
      <c r="ET23" s="2">
        <v>5</v>
      </c>
      <c r="EU23" s="100">
        <v>3</v>
      </c>
      <c r="EV23" s="125">
        <f t="shared" si="153"/>
        <v>21</v>
      </c>
      <c r="EW23" s="113"/>
      <c r="EX23" s="134">
        <f t="shared" si="217"/>
        <v>0</v>
      </c>
      <c r="EY23" s="136"/>
      <c r="EZ23" s="134">
        <f t="shared" si="218"/>
        <v>0</v>
      </c>
      <c r="FA23" s="136"/>
      <c r="FB23" s="134">
        <f t="shared" si="219"/>
        <v>0</v>
      </c>
      <c r="FC23" s="136"/>
      <c r="FD23" s="134">
        <f t="shared" si="220"/>
        <v>0</v>
      </c>
      <c r="FE23" s="136"/>
      <c r="FF23" s="134">
        <f t="shared" si="221"/>
        <v>0</v>
      </c>
      <c r="FG23" s="136"/>
      <c r="FH23" s="134">
        <f t="shared" si="222"/>
        <v>0</v>
      </c>
      <c r="FI23" s="136"/>
      <c r="FJ23" s="134">
        <f t="shared" si="223"/>
        <v>0</v>
      </c>
      <c r="FK23" s="136"/>
      <c r="FL23" s="134">
        <f t="shared" si="224"/>
        <v>0</v>
      </c>
      <c r="FM23" s="137"/>
      <c r="FN23" s="134">
        <f t="shared" si="225"/>
        <v>0</v>
      </c>
      <c r="FO23" s="136"/>
      <c r="FP23" s="134">
        <f t="shared" si="226"/>
        <v>0</v>
      </c>
      <c r="FQ23" s="136"/>
      <c r="FR23" s="134">
        <f t="shared" si="227"/>
        <v>0</v>
      </c>
      <c r="FS23" s="136"/>
      <c r="FT23" s="134">
        <f t="shared" si="228"/>
        <v>0</v>
      </c>
      <c r="FU23" s="136"/>
      <c r="FV23" s="134">
        <f t="shared" si="229"/>
        <v>0</v>
      </c>
      <c r="FW23" s="136"/>
      <c r="FX23" s="134">
        <f t="shared" si="230"/>
        <v>0</v>
      </c>
      <c r="FY23" s="136"/>
      <c r="FZ23" s="134">
        <f t="shared" si="231"/>
        <v>0</v>
      </c>
      <c r="GA23" s="137"/>
      <c r="GB23" s="135">
        <f t="shared" si="232"/>
        <v>0</v>
      </c>
    </row>
    <row r="24" spans="1:184">
      <c r="A24" s="89" t="s">
        <v>57</v>
      </c>
      <c r="B24" s="29">
        <f>SUM(B15:B23)</f>
        <v>36</v>
      </c>
      <c r="C24" s="29"/>
      <c r="D24" s="127"/>
      <c r="E24" s="129"/>
      <c r="F24" s="28">
        <f>SUM(F15:F23)</f>
        <v>0</v>
      </c>
      <c r="G24" s="28"/>
      <c r="H24" s="28">
        <f t="shared" ref="H24:V24" si="275">SUM(H15:H23)</f>
        <v>0</v>
      </c>
      <c r="I24" s="28"/>
      <c r="J24" s="28">
        <f t="shared" ref="J24:V24" si="276">SUM(J15:J23)</f>
        <v>0</v>
      </c>
      <c r="K24" s="28"/>
      <c r="L24" s="28">
        <f t="shared" ref="L24:V24" si="277">SUM(L15:L23)</f>
        <v>0</v>
      </c>
      <c r="M24" s="28"/>
      <c r="N24" s="28">
        <f t="shared" ref="N24:V24" si="278">SUM(N15:N23)</f>
        <v>0</v>
      </c>
      <c r="O24" s="28"/>
      <c r="P24" s="28">
        <f t="shared" ref="P24:V24" si="279">SUM(P15:P23)</f>
        <v>0</v>
      </c>
      <c r="Q24" s="28"/>
      <c r="R24" s="28">
        <f t="shared" ref="R24:V24" si="280">SUM(R15:R23)</f>
        <v>0</v>
      </c>
      <c r="S24" s="28"/>
      <c r="T24" s="28">
        <f t="shared" ref="T24:V24" si="281">SUM(T15:T23)</f>
        <v>0</v>
      </c>
      <c r="U24" s="28"/>
      <c r="V24" s="28">
        <f t="shared" ref="V24" si="282">SUM(V15:V23)</f>
        <v>0</v>
      </c>
      <c r="W24" s="28"/>
      <c r="X24" s="28">
        <f>SUM(X15:X23)</f>
        <v>0</v>
      </c>
      <c r="Y24" s="28"/>
      <c r="Z24" s="28">
        <f t="shared" ref="Z24:AH24" si="283">SUM(Z15:Z23)</f>
        <v>0</v>
      </c>
      <c r="AA24" s="28"/>
      <c r="AB24" s="28">
        <f t="shared" si="283"/>
        <v>0</v>
      </c>
      <c r="AC24" s="28"/>
      <c r="AD24" s="28">
        <f t="shared" si="283"/>
        <v>0</v>
      </c>
      <c r="AE24" s="28"/>
      <c r="AF24" s="28">
        <f t="shared" si="283"/>
        <v>0</v>
      </c>
      <c r="AG24" s="28"/>
      <c r="AH24" s="28">
        <f t="shared" si="283"/>
        <v>0</v>
      </c>
      <c r="AI24" s="40"/>
      <c r="AJ24" s="118">
        <f t="shared" ref="AJ24" si="284">SUM(AJ15:AJ23)</f>
        <v>0</v>
      </c>
      <c r="AL24" s="89" t="s">
        <v>57</v>
      </c>
      <c r="AM24" s="29">
        <f>SUM(AM15:AM23)</f>
        <v>36</v>
      </c>
      <c r="AN24" s="29"/>
      <c r="AO24" s="127"/>
      <c r="AP24" s="129"/>
      <c r="AQ24" s="28">
        <f>SUM(AQ15:AQ23)</f>
        <v>0</v>
      </c>
      <c r="AR24" s="28"/>
      <c r="AS24" s="28">
        <f t="shared" ref="AS24:BG24" si="285">SUM(AS15:AS23)</f>
        <v>0</v>
      </c>
      <c r="AT24" s="28"/>
      <c r="AU24" s="28">
        <f t="shared" ref="AU24:BG24" si="286">SUM(AU15:AU23)</f>
        <v>0</v>
      </c>
      <c r="AV24" s="28"/>
      <c r="AW24" s="28">
        <f t="shared" ref="AW24:BG24" si="287">SUM(AW15:AW23)</f>
        <v>0</v>
      </c>
      <c r="AX24" s="28"/>
      <c r="AY24" s="28">
        <f t="shared" ref="AY24:BG24" si="288">SUM(AY15:AY23)</f>
        <v>0</v>
      </c>
      <c r="AZ24" s="28"/>
      <c r="BA24" s="28">
        <f t="shared" ref="BA24:BG24" si="289">SUM(BA15:BA23)</f>
        <v>0</v>
      </c>
      <c r="BB24" s="28"/>
      <c r="BC24" s="28">
        <f t="shared" ref="BC24:BG24" si="290">SUM(BC15:BC23)</f>
        <v>0</v>
      </c>
      <c r="BD24" s="28"/>
      <c r="BE24" s="28">
        <f t="shared" ref="BE24:BG24" si="291">SUM(BE15:BE23)</f>
        <v>0</v>
      </c>
      <c r="BF24" s="28"/>
      <c r="BG24" s="28">
        <f t="shared" ref="BG24" si="292">SUM(BG15:BG23)</f>
        <v>0</v>
      </c>
      <c r="BH24" s="28"/>
      <c r="BI24" s="28">
        <f>SUM(BI15:BI23)</f>
        <v>0</v>
      </c>
      <c r="BJ24" s="28"/>
      <c r="BK24" s="28">
        <f t="shared" ref="BK24:BS24" si="293">SUM(BK15:BK23)</f>
        <v>0</v>
      </c>
      <c r="BL24" s="28"/>
      <c r="BM24" s="28">
        <f t="shared" ref="BM24:BU24" si="294">SUM(BM15:BM23)</f>
        <v>0</v>
      </c>
      <c r="BN24" s="28"/>
      <c r="BO24" s="28">
        <f t="shared" ref="BO24:BU24" si="295">SUM(BO15:BO23)</f>
        <v>0</v>
      </c>
      <c r="BP24" s="28"/>
      <c r="BQ24" s="28">
        <f t="shared" ref="BQ24:BU24" si="296">SUM(BQ15:BQ23)</f>
        <v>0</v>
      </c>
      <c r="BR24" s="28"/>
      <c r="BS24" s="28">
        <f t="shared" ref="BS24:BU24" si="297">SUM(BS15:BS23)</f>
        <v>0</v>
      </c>
      <c r="BT24" s="40"/>
      <c r="BU24" s="118">
        <f t="shared" ref="BU24" si="298">SUM(BU15:BU23)</f>
        <v>0</v>
      </c>
      <c r="BW24" s="89" t="s">
        <v>57</v>
      </c>
      <c r="BX24" s="29">
        <f>SUM(BX15:BX23)</f>
        <v>36</v>
      </c>
      <c r="BY24" s="29"/>
      <c r="BZ24" s="127"/>
      <c r="CA24" s="129"/>
      <c r="CB24" s="28">
        <f>SUM(CB15:CB23)</f>
        <v>0</v>
      </c>
      <c r="CC24" s="28"/>
      <c r="CD24" s="28">
        <f t="shared" ref="CD24:CR24" si="299">SUM(CD15:CD23)</f>
        <v>0</v>
      </c>
      <c r="CE24" s="28"/>
      <c r="CF24" s="28">
        <f t="shared" ref="CF24:CR24" si="300">SUM(CF15:CF23)</f>
        <v>0</v>
      </c>
      <c r="CG24" s="28"/>
      <c r="CH24" s="28">
        <f t="shared" ref="CH24:CR24" si="301">SUM(CH15:CH23)</f>
        <v>0</v>
      </c>
      <c r="CI24" s="28"/>
      <c r="CJ24" s="28">
        <f t="shared" ref="CJ24:CR24" si="302">SUM(CJ15:CJ23)</f>
        <v>0</v>
      </c>
      <c r="CK24" s="28"/>
      <c r="CL24" s="28">
        <f t="shared" ref="CL24:CR24" si="303">SUM(CL15:CL23)</f>
        <v>0</v>
      </c>
      <c r="CM24" s="28"/>
      <c r="CN24" s="28">
        <f t="shared" ref="CN24:CR24" si="304">SUM(CN15:CN23)</f>
        <v>0</v>
      </c>
      <c r="CO24" s="28"/>
      <c r="CP24" s="28">
        <f t="shared" ref="CP24:CR24" si="305">SUM(CP15:CP23)</f>
        <v>0</v>
      </c>
      <c r="CQ24" s="28"/>
      <c r="CR24" s="28">
        <f t="shared" ref="CR24" si="306">SUM(CR15:CR23)</f>
        <v>0</v>
      </c>
      <c r="CS24" s="28"/>
      <c r="CT24" s="28">
        <f>SUM(CT15:CT23)</f>
        <v>0</v>
      </c>
      <c r="CU24" s="28"/>
      <c r="CV24" s="28">
        <f t="shared" ref="CV24:DD24" si="307">SUM(CV15:CV23)</f>
        <v>0</v>
      </c>
      <c r="CW24" s="28"/>
      <c r="CX24" s="28">
        <f t="shared" ref="CX24:DF24" si="308">SUM(CX15:CX23)</f>
        <v>0</v>
      </c>
      <c r="CY24" s="28"/>
      <c r="CZ24" s="28">
        <f t="shared" ref="CZ24:DF24" si="309">SUM(CZ15:CZ23)</f>
        <v>0</v>
      </c>
      <c r="DA24" s="28"/>
      <c r="DB24" s="28">
        <f t="shared" ref="DB24:DF24" si="310">SUM(DB15:DB23)</f>
        <v>0</v>
      </c>
      <c r="DC24" s="28"/>
      <c r="DD24" s="28">
        <f t="shared" ref="DD24:DF24" si="311">SUM(DD15:DD23)</f>
        <v>0</v>
      </c>
      <c r="DE24" s="40"/>
      <c r="DF24" s="118">
        <f t="shared" ref="DF24" si="312">SUM(DF15:DF23)</f>
        <v>0</v>
      </c>
      <c r="DH24" s="89" t="s">
        <v>57</v>
      </c>
      <c r="DI24" s="29">
        <f>SUM(DI15:DI23)</f>
        <v>36</v>
      </c>
      <c r="DJ24" s="29"/>
      <c r="DK24" s="127"/>
      <c r="DL24" s="129"/>
      <c r="DM24" s="28">
        <f>SUM(DM15:DM23)</f>
        <v>0</v>
      </c>
      <c r="DN24" s="28"/>
      <c r="DO24" s="28">
        <f t="shared" ref="DO24:EC24" si="313">SUM(DO15:DO23)</f>
        <v>0</v>
      </c>
      <c r="DP24" s="28"/>
      <c r="DQ24" s="28">
        <f t="shared" ref="DQ24:EC24" si="314">SUM(DQ15:DQ23)</f>
        <v>0</v>
      </c>
      <c r="DR24" s="28"/>
      <c r="DS24" s="28">
        <f t="shared" ref="DS24:EC24" si="315">SUM(DS15:DS23)</f>
        <v>0</v>
      </c>
      <c r="DT24" s="28"/>
      <c r="DU24" s="28">
        <f t="shared" ref="DU24:EC24" si="316">SUM(DU15:DU23)</f>
        <v>0</v>
      </c>
      <c r="DV24" s="28"/>
      <c r="DW24" s="28">
        <f t="shared" ref="DW24:EC24" si="317">SUM(DW15:DW23)</f>
        <v>0</v>
      </c>
      <c r="DX24" s="28"/>
      <c r="DY24" s="28">
        <f t="shared" ref="DY24:EC24" si="318">SUM(DY15:DY23)</f>
        <v>0</v>
      </c>
      <c r="DZ24" s="28"/>
      <c r="EA24" s="28">
        <f t="shared" ref="EA24:EC24" si="319">SUM(EA15:EA23)</f>
        <v>0</v>
      </c>
      <c r="EB24" s="28"/>
      <c r="EC24" s="28">
        <f t="shared" ref="EC24" si="320">SUM(EC15:EC23)</f>
        <v>0</v>
      </c>
      <c r="ED24" s="28"/>
      <c r="EE24" s="28">
        <f>SUM(EE15:EE23)</f>
        <v>0</v>
      </c>
      <c r="EF24" s="28"/>
      <c r="EG24" s="28">
        <f t="shared" ref="EG24:EO24" si="321">SUM(EG15:EG23)</f>
        <v>0</v>
      </c>
      <c r="EH24" s="28"/>
      <c r="EI24" s="28">
        <f t="shared" ref="EI24:EQ24" si="322">SUM(EI15:EI23)</f>
        <v>0</v>
      </c>
      <c r="EJ24" s="28"/>
      <c r="EK24" s="28">
        <f t="shared" ref="EK24:EQ24" si="323">SUM(EK15:EK23)</f>
        <v>0</v>
      </c>
      <c r="EL24" s="28"/>
      <c r="EM24" s="28">
        <f t="shared" ref="EM24:EQ24" si="324">SUM(EM15:EM23)</f>
        <v>0</v>
      </c>
      <c r="EN24" s="28"/>
      <c r="EO24" s="28">
        <f t="shared" ref="EO24:EQ24" si="325">SUM(EO15:EO23)</f>
        <v>0</v>
      </c>
      <c r="EP24" s="40"/>
      <c r="EQ24" s="118">
        <f t="shared" ref="EQ24" si="326">SUM(EQ15:EQ23)</f>
        <v>0</v>
      </c>
      <c r="ES24" s="89" t="s">
        <v>57</v>
      </c>
      <c r="ET24" s="29">
        <f>SUM(ET15:ET23)</f>
        <v>36</v>
      </c>
      <c r="EU24" s="29"/>
      <c r="EV24" s="127"/>
      <c r="EW24" s="129"/>
      <c r="EX24" s="28">
        <f>SUM(EX15:EX23)</f>
        <v>0</v>
      </c>
      <c r="EY24" s="28"/>
      <c r="EZ24" s="28">
        <f t="shared" ref="EZ24:FN24" si="327">SUM(EZ15:EZ23)</f>
        <v>0</v>
      </c>
      <c r="FA24" s="28"/>
      <c r="FB24" s="28">
        <f t="shared" ref="FB24:FN24" si="328">SUM(FB15:FB23)</f>
        <v>0</v>
      </c>
      <c r="FC24" s="28"/>
      <c r="FD24" s="28">
        <f t="shared" ref="FD24:FN24" si="329">SUM(FD15:FD23)</f>
        <v>0</v>
      </c>
      <c r="FE24" s="28"/>
      <c r="FF24" s="28">
        <f t="shared" ref="FF24:FN24" si="330">SUM(FF15:FF23)</f>
        <v>0</v>
      </c>
      <c r="FG24" s="28"/>
      <c r="FH24" s="28">
        <f t="shared" ref="FH24:FN24" si="331">SUM(FH15:FH23)</f>
        <v>0</v>
      </c>
      <c r="FI24" s="28"/>
      <c r="FJ24" s="28">
        <f t="shared" ref="FJ24:FN24" si="332">SUM(FJ15:FJ23)</f>
        <v>0</v>
      </c>
      <c r="FK24" s="28"/>
      <c r="FL24" s="28">
        <f t="shared" ref="FL24:FN24" si="333">SUM(FL15:FL23)</f>
        <v>0</v>
      </c>
      <c r="FM24" s="28"/>
      <c r="FN24" s="28">
        <f t="shared" ref="FN24" si="334">SUM(FN15:FN23)</f>
        <v>0</v>
      </c>
      <c r="FO24" s="28"/>
      <c r="FP24" s="28">
        <f>SUM(FP15:FP23)</f>
        <v>0</v>
      </c>
      <c r="FQ24" s="28"/>
      <c r="FR24" s="28">
        <f t="shared" ref="FR24:FZ24" si="335">SUM(FR15:FR23)</f>
        <v>0</v>
      </c>
      <c r="FS24" s="28"/>
      <c r="FT24" s="28">
        <f t="shared" ref="FT24:GB24" si="336">SUM(FT15:FT23)</f>
        <v>0</v>
      </c>
      <c r="FU24" s="28"/>
      <c r="FV24" s="28">
        <f t="shared" ref="FV24:GB24" si="337">SUM(FV15:FV23)</f>
        <v>0</v>
      </c>
      <c r="FW24" s="28"/>
      <c r="FX24" s="28">
        <f t="shared" ref="FX24:GB24" si="338">SUM(FX15:FX23)</f>
        <v>0</v>
      </c>
      <c r="FY24" s="28"/>
      <c r="FZ24" s="28">
        <f t="shared" ref="FZ24:GB24" si="339">SUM(FZ15:FZ23)</f>
        <v>0</v>
      </c>
      <c r="GA24" s="40"/>
      <c r="GB24" s="118">
        <f t="shared" ref="GB24" si="340">SUM(GB15:GB23)</f>
        <v>0</v>
      </c>
    </row>
    <row r="25" spans="1:184">
      <c r="A25" s="90" t="s">
        <v>0</v>
      </c>
      <c r="B25" s="91">
        <f>SUM(B24,B14)</f>
        <v>72</v>
      </c>
      <c r="C25" s="91"/>
      <c r="D25" s="128"/>
      <c r="E25" s="130"/>
      <c r="F25" s="92">
        <f>SUM(F14+F24)</f>
        <v>0</v>
      </c>
      <c r="G25" s="92"/>
      <c r="H25" s="92">
        <f t="shared" ref="H25:V25" si="341">SUM(H14+H24)</f>
        <v>0</v>
      </c>
      <c r="I25" s="92"/>
      <c r="J25" s="92">
        <f t="shared" ref="J25:V25" si="342">SUM(J14+J24)</f>
        <v>0</v>
      </c>
      <c r="K25" s="92"/>
      <c r="L25" s="92">
        <f t="shared" ref="L25:V25" si="343">SUM(L14+L24)</f>
        <v>0</v>
      </c>
      <c r="M25" s="92"/>
      <c r="N25" s="92">
        <f t="shared" ref="N25:V25" si="344">SUM(N14+N24)</f>
        <v>0</v>
      </c>
      <c r="O25" s="92"/>
      <c r="P25" s="92">
        <f t="shared" ref="P25:V25" si="345">SUM(P14+P24)</f>
        <v>0</v>
      </c>
      <c r="Q25" s="92"/>
      <c r="R25" s="92">
        <f t="shared" ref="R25:V25" si="346">SUM(R14+R24)</f>
        <v>0</v>
      </c>
      <c r="S25" s="92"/>
      <c r="T25" s="92">
        <f t="shared" ref="T25:V25" si="347">SUM(T14+T24)</f>
        <v>0</v>
      </c>
      <c r="U25" s="92"/>
      <c r="V25" s="92">
        <f t="shared" ref="V25" si="348">SUM(V14+V24)</f>
        <v>0</v>
      </c>
      <c r="W25" s="92"/>
      <c r="X25" s="92">
        <f>SUM(X14+X24)</f>
        <v>0</v>
      </c>
      <c r="Y25" s="92"/>
      <c r="Z25" s="92">
        <f t="shared" ref="Z25:AH25" si="349">SUM(Z14+Z24)</f>
        <v>0</v>
      </c>
      <c r="AA25" s="92"/>
      <c r="AB25" s="92">
        <f t="shared" si="349"/>
        <v>0</v>
      </c>
      <c r="AC25" s="92"/>
      <c r="AD25" s="92">
        <f t="shared" si="349"/>
        <v>0</v>
      </c>
      <c r="AE25" s="92"/>
      <c r="AF25" s="92">
        <f t="shared" si="349"/>
        <v>0</v>
      </c>
      <c r="AG25" s="92"/>
      <c r="AH25" s="92">
        <f t="shared" si="349"/>
        <v>0</v>
      </c>
      <c r="AI25" s="93"/>
      <c r="AJ25" s="119">
        <f t="shared" ref="AJ25" si="350">SUM(AJ14+AJ24)</f>
        <v>0</v>
      </c>
      <c r="AL25" s="90" t="s">
        <v>0</v>
      </c>
      <c r="AM25" s="91">
        <f>SUM(AM24,AM14)</f>
        <v>72</v>
      </c>
      <c r="AN25" s="91"/>
      <c r="AO25" s="128"/>
      <c r="AP25" s="130"/>
      <c r="AQ25" s="92">
        <f>SUM(AQ14+AQ24)</f>
        <v>0</v>
      </c>
      <c r="AR25" s="92"/>
      <c r="AS25" s="92">
        <f t="shared" ref="AS25:BG25" si="351">SUM(AS14+AS24)</f>
        <v>0</v>
      </c>
      <c r="AT25" s="92"/>
      <c r="AU25" s="92">
        <f t="shared" ref="AU25:BG25" si="352">SUM(AU14+AU24)</f>
        <v>0</v>
      </c>
      <c r="AV25" s="92"/>
      <c r="AW25" s="92">
        <f t="shared" ref="AW25:BG25" si="353">SUM(AW14+AW24)</f>
        <v>0</v>
      </c>
      <c r="AX25" s="92"/>
      <c r="AY25" s="92">
        <f t="shared" ref="AY25:BG25" si="354">SUM(AY14+AY24)</f>
        <v>0</v>
      </c>
      <c r="AZ25" s="92"/>
      <c r="BA25" s="92">
        <f t="shared" ref="BA25:BG25" si="355">SUM(BA14+BA24)</f>
        <v>0</v>
      </c>
      <c r="BB25" s="92"/>
      <c r="BC25" s="92">
        <f t="shared" ref="BC25:BG25" si="356">SUM(BC14+BC24)</f>
        <v>0</v>
      </c>
      <c r="BD25" s="92"/>
      <c r="BE25" s="92">
        <f t="shared" ref="BE25:BG25" si="357">SUM(BE14+BE24)</f>
        <v>0</v>
      </c>
      <c r="BF25" s="92"/>
      <c r="BG25" s="92">
        <f t="shared" ref="BG25" si="358">SUM(BG14+BG24)</f>
        <v>0</v>
      </c>
      <c r="BH25" s="92"/>
      <c r="BI25" s="92">
        <f>SUM(BI14+BI24)</f>
        <v>0</v>
      </c>
      <c r="BJ25" s="92"/>
      <c r="BK25" s="92">
        <f t="shared" ref="BK25:BS25" si="359">SUM(BK14+BK24)</f>
        <v>0</v>
      </c>
      <c r="BL25" s="92"/>
      <c r="BM25" s="92">
        <f t="shared" ref="BM25:BU25" si="360">SUM(BM14+BM24)</f>
        <v>0</v>
      </c>
      <c r="BN25" s="92"/>
      <c r="BO25" s="92">
        <f t="shared" ref="BO25:BU25" si="361">SUM(BO14+BO24)</f>
        <v>0</v>
      </c>
      <c r="BP25" s="92"/>
      <c r="BQ25" s="92">
        <f t="shared" ref="BQ25:BU25" si="362">SUM(BQ14+BQ24)</f>
        <v>0</v>
      </c>
      <c r="BR25" s="92"/>
      <c r="BS25" s="92">
        <f t="shared" ref="BS25:BU25" si="363">SUM(BS14+BS24)</f>
        <v>0</v>
      </c>
      <c r="BT25" s="93"/>
      <c r="BU25" s="119">
        <f t="shared" ref="BU25" si="364">SUM(BU14+BU24)</f>
        <v>0</v>
      </c>
      <c r="BW25" s="90" t="s">
        <v>0</v>
      </c>
      <c r="BX25" s="91">
        <f>SUM(BX24,BX14)</f>
        <v>72</v>
      </c>
      <c r="BY25" s="91"/>
      <c r="BZ25" s="128"/>
      <c r="CA25" s="130"/>
      <c r="CB25" s="92">
        <f>SUM(CB14+CB24)</f>
        <v>0</v>
      </c>
      <c r="CC25" s="92"/>
      <c r="CD25" s="92">
        <f t="shared" ref="CD25:CR25" si="365">SUM(CD14+CD24)</f>
        <v>0</v>
      </c>
      <c r="CE25" s="92"/>
      <c r="CF25" s="92">
        <f t="shared" ref="CF25:CR25" si="366">SUM(CF14+CF24)</f>
        <v>0</v>
      </c>
      <c r="CG25" s="92"/>
      <c r="CH25" s="92">
        <f t="shared" ref="CH25:CR25" si="367">SUM(CH14+CH24)</f>
        <v>0</v>
      </c>
      <c r="CI25" s="92"/>
      <c r="CJ25" s="92">
        <f t="shared" ref="CJ25:CR25" si="368">SUM(CJ14+CJ24)</f>
        <v>0</v>
      </c>
      <c r="CK25" s="92"/>
      <c r="CL25" s="92">
        <f t="shared" ref="CL25:CR25" si="369">SUM(CL14+CL24)</f>
        <v>0</v>
      </c>
      <c r="CM25" s="92"/>
      <c r="CN25" s="92">
        <f t="shared" ref="CN25:CR25" si="370">SUM(CN14+CN24)</f>
        <v>0</v>
      </c>
      <c r="CO25" s="92"/>
      <c r="CP25" s="92">
        <f t="shared" ref="CP25:CR25" si="371">SUM(CP14+CP24)</f>
        <v>0</v>
      </c>
      <c r="CQ25" s="92"/>
      <c r="CR25" s="92">
        <f t="shared" ref="CR25" si="372">SUM(CR14+CR24)</f>
        <v>0</v>
      </c>
      <c r="CS25" s="92"/>
      <c r="CT25" s="92">
        <f>SUM(CT14+CT24)</f>
        <v>0</v>
      </c>
      <c r="CU25" s="92"/>
      <c r="CV25" s="92">
        <f t="shared" ref="CV25:DD25" si="373">SUM(CV14+CV24)</f>
        <v>0</v>
      </c>
      <c r="CW25" s="92"/>
      <c r="CX25" s="92">
        <f t="shared" ref="CX25:DF25" si="374">SUM(CX14+CX24)</f>
        <v>0</v>
      </c>
      <c r="CY25" s="92"/>
      <c r="CZ25" s="92">
        <f t="shared" ref="CZ25:DF25" si="375">SUM(CZ14+CZ24)</f>
        <v>0</v>
      </c>
      <c r="DA25" s="92"/>
      <c r="DB25" s="92">
        <f t="shared" ref="DB25:DF25" si="376">SUM(DB14+DB24)</f>
        <v>0</v>
      </c>
      <c r="DC25" s="92"/>
      <c r="DD25" s="92">
        <f t="shared" ref="DD25:DF25" si="377">SUM(DD14+DD24)</f>
        <v>0</v>
      </c>
      <c r="DE25" s="93"/>
      <c r="DF25" s="119">
        <f t="shared" ref="DF25" si="378">SUM(DF14+DF24)</f>
        <v>0</v>
      </c>
      <c r="DH25" s="90" t="s">
        <v>0</v>
      </c>
      <c r="DI25" s="91">
        <f>SUM(DI24,DI14)</f>
        <v>72</v>
      </c>
      <c r="DJ25" s="91"/>
      <c r="DK25" s="128"/>
      <c r="DL25" s="130"/>
      <c r="DM25" s="92">
        <f>SUM(DM14+DM24)</f>
        <v>0</v>
      </c>
      <c r="DN25" s="92"/>
      <c r="DO25" s="92">
        <f t="shared" ref="DO25:EC25" si="379">SUM(DO14+DO24)</f>
        <v>0</v>
      </c>
      <c r="DP25" s="92"/>
      <c r="DQ25" s="92">
        <f t="shared" ref="DQ25:EC25" si="380">SUM(DQ14+DQ24)</f>
        <v>0</v>
      </c>
      <c r="DR25" s="92"/>
      <c r="DS25" s="92">
        <f t="shared" ref="DS25:EC25" si="381">SUM(DS14+DS24)</f>
        <v>0</v>
      </c>
      <c r="DT25" s="92"/>
      <c r="DU25" s="92">
        <f t="shared" ref="DU25:EC25" si="382">SUM(DU14+DU24)</f>
        <v>0</v>
      </c>
      <c r="DV25" s="92"/>
      <c r="DW25" s="92">
        <f t="shared" ref="DW25:EC25" si="383">SUM(DW14+DW24)</f>
        <v>0</v>
      </c>
      <c r="DX25" s="92"/>
      <c r="DY25" s="92">
        <f t="shared" ref="DY25:EC25" si="384">SUM(DY14+DY24)</f>
        <v>0</v>
      </c>
      <c r="DZ25" s="92"/>
      <c r="EA25" s="92">
        <f t="shared" ref="EA25:EC25" si="385">SUM(EA14+EA24)</f>
        <v>0</v>
      </c>
      <c r="EB25" s="92"/>
      <c r="EC25" s="92">
        <f t="shared" ref="EC25" si="386">SUM(EC14+EC24)</f>
        <v>0</v>
      </c>
      <c r="ED25" s="92"/>
      <c r="EE25" s="92">
        <f>SUM(EE14+EE24)</f>
        <v>0</v>
      </c>
      <c r="EF25" s="92"/>
      <c r="EG25" s="92">
        <f t="shared" ref="EG25:EO25" si="387">SUM(EG14+EG24)</f>
        <v>0</v>
      </c>
      <c r="EH25" s="92"/>
      <c r="EI25" s="92">
        <f t="shared" ref="EI25:EQ25" si="388">SUM(EI14+EI24)</f>
        <v>0</v>
      </c>
      <c r="EJ25" s="92"/>
      <c r="EK25" s="92">
        <f t="shared" ref="EK25:EQ25" si="389">SUM(EK14+EK24)</f>
        <v>0</v>
      </c>
      <c r="EL25" s="92"/>
      <c r="EM25" s="92">
        <f t="shared" ref="EM25:EQ25" si="390">SUM(EM14+EM24)</f>
        <v>0</v>
      </c>
      <c r="EN25" s="92"/>
      <c r="EO25" s="92">
        <f t="shared" ref="EO25:EQ25" si="391">SUM(EO14+EO24)</f>
        <v>0</v>
      </c>
      <c r="EP25" s="93"/>
      <c r="EQ25" s="119">
        <f t="shared" ref="EQ25" si="392">SUM(EQ14+EQ24)</f>
        <v>0</v>
      </c>
      <c r="ES25" s="90" t="s">
        <v>0</v>
      </c>
      <c r="ET25" s="91">
        <f>SUM(ET24,ET14)</f>
        <v>72</v>
      </c>
      <c r="EU25" s="91"/>
      <c r="EV25" s="128"/>
      <c r="EW25" s="130"/>
      <c r="EX25" s="92">
        <f>SUM(EX14+EX24)</f>
        <v>0</v>
      </c>
      <c r="EY25" s="92"/>
      <c r="EZ25" s="92">
        <f t="shared" ref="EZ25:FN25" si="393">SUM(EZ14+EZ24)</f>
        <v>0</v>
      </c>
      <c r="FA25" s="92"/>
      <c r="FB25" s="92">
        <f t="shared" ref="FB25:FN25" si="394">SUM(FB14+FB24)</f>
        <v>0</v>
      </c>
      <c r="FC25" s="92"/>
      <c r="FD25" s="92">
        <f t="shared" ref="FD25:FN25" si="395">SUM(FD14+FD24)</f>
        <v>0</v>
      </c>
      <c r="FE25" s="92"/>
      <c r="FF25" s="92">
        <f t="shared" ref="FF25:FN25" si="396">SUM(FF14+FF24)</f>
        <v>0</v>
      </c>
      <c r="FG25" s="92"/>
      <c r="FH25" s="92">
        <f t="shared" ref="FH25:FN25" si="397">SUM(FH14+FH24)</f>
        <v>0</v>
      </c>
      <c r="FI25" s="92"/>
      <c r="FJ25" s="92">
        <f t="shared" ref="FJ25:FN25" si="398">SUM(FJ14+FJ24)</f>
        <v>0</v>
      </c>
      <c r="FK25" s="92"/>
      <c r="FL25" s="92">
        <f t="shared" ref="FL25:FN25" si="399">SUM(FL14+FL24)</f>
        <v>0</v>
      </c>
      <c r="FM25" s="92"/>
      <c r="FN25" s="92">
        <f t="shared" ref="FN25" si="400">SUM(FN14+FN24)</f>
        <v>0</v>
      </c>
      <c r="FO25" s="92"/>
      <c r="FP25" s="92">
        <f>SUM(FP14+FP24)</f>
        <v>0</v>
      </c>
      <c r="FQ25" s="92"/>
      <c r="FR25" s="92">
        <f t="shared" ref="FR25:FZ25" si="401">SUM(FR14+FR24)</f>
        <v>0</v>
      </c>
      <c r="FS25" s="92"/>
      <c r="FT25" s="92">
        <f t="shared" ref="FT25:GB25" si="402">SUM(FT14+FT24)</f>
        <v>0</v>
      </c>
      <c r="FU25" s="92"/>
      <c r="FV25" s="92">
        <f t="shared" ref="FV25:GB25" si="403">SUM(FV14+FV24)</f>
        <v>0</v>
      </c>
      <c r="FW25" s="92"/>
      <c r="FX25" s="92">
        <f t="shared" ref="FX25:GB25" si="404">SUM(FX14+FX24)</f>
        <v>0</v>
      </c>
      <c r="FY25" s="92"/>
      <c r="FZ25" s="92">
        <f t="shared" ref="FZ25:GB25" si="405">SUM(FZ14+FZ24)</f>
        <v>0</v>
      </c>
      <c r="GA25" s="93"/>
      <c r="GB25" s="119">
        <f t="shared" ref="GB25" si="406">SUM(GB14+GB24)</f>
        <v>0</v>
      </c>
    </row>
    <row r="26" spans="1:184"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L26" s="1"/>
      <c r="AM26" s="1"/>
      <c r="AN26" s="1"/>
      <c r="AO26" s="1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W26" s="1"/>
      <c r="BX26" s="1"/>
      <c r="BY26" s="1"/>
      <c r="BZ26" s="1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H26" s="1"/>
      <c r="DI26" s="1"/>
      <c r="DJ26" s="1"/>
      <c r="DK26" s="1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S26" s="1"/>
      <c r="ET26" s="1"/>
      <c r="EU26" s="1"/>
      <c r="EV26" s="1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</row>
  </sheetData>
  <mergeCells count="5">
    <mergeCell ref="ES2:GA2"/>
    <mergeCell ref="A2:AI2"/>
    <mergeCell ref="AL2:BT2"/>
    <mergeCell ref="BW2:DE2"/>
    <mergeCell ref="DH2:EP2"/>
  </mergeCells>
  <conditionalFormatting sqref="C5:C23">
    <cfRule type="duplicateValues" dxfId="12" priority="5"/>
  </conditionalFormatting>
  <conditionalFormatting sqref="AN5:AN23">
    <cfRule type="duplicateValues" dxfId="11" priority="4"/>
  </conditionalFormatting>
  <conditionalFormatting sqref="BY5:BY23">
    <cfRule type="duplicateValues" dxfId="10" priority="3"/>
  </conditionalFormatting>
  <conditionalFormatting sqref="DJ5:DJ23">
    <cfRule type="duplicateValues" dxfId="9" priority="2"/>
  </conditionalFormatting>
  <conditionalFormatting sqref="EU5:EU23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7DA9-5CB3-4CC9-B30F-AD8FD0816970}">
  <dimension ref="A1:CF73"/>
  <sheetViews>
    <sheetView workbookViewId="0">
      <selection sqref="A1:A13"/>
    </sheetView>
  </sheetViews>
  <sheetFormatPr defaultRowHeight="15"/>
  <cols>
    <col min="1" max="1" width="12.7109375" style="1" customWidth="1"/>
    <col min="2" max="2" width="13.28515625" style="1" customWidth="1"/>
    <col min="3" max="3" width="3.28515625" style="1" customWidth="1"/>
    <col min="4" max="5" width="3.28515625" style="1" hidden="1" customWidth="1"/>
    <col min="6" max="7" width="3.28515625" style="1" customWidth="1"/>
    <col min="8" max="9" width="3.28515625" style="1" hidden="1" customWidth="1"/>
    <col min="10" max="11" width="3.28515625" style="1" customWidth="1"/>
    <col min="12" max="13" width="3.28515625" style="1" hidden="1" customWidth="1"/>
    <col min="14" max="15" width="3.28515625" style="1" customWidth="1"/>
    <col min="16" max="17" width="3.28515625" style="1" hidden="1" customWidth="1"/>
    <col min="18" max="19" width="3.28515625" style="1" customWidth="1"/>
    <col min="20" max="21" width="3.28515625" style="1" hidden="1" customWidth="1"/>
    <col min="22" max="23" width="3.28515625" style="1" customWidth="1"/>
    <col min="24" max="25" width="3.28515625" style="1" hidden="1" customWidth="1"/>
    <col min="26" max="27" width="3.28515625" style="1" customWidth="1"/>
    <col min="28" max="29" width="3.28515625" style="1" hidden="1" customWidth="1"/>
    <col min="30" max="31" width="3.28515625" style="1" customWidth="1"/>
    <col min="32" max="33" width="3.28515625" style="1" hidden="1" customWidth="1"/>
    <col min="34" max="35" width="3.28515625" style="1" customWidth="1"/>
    <col min="36" max="37" width="3.28515625" style="1" hidden="1" customWidth="1"/>
    <col min="38" max="38" width="3.28515625" style="1" customWidth="1"/>
    <col min="39" max="39" width="5.7109375" style="1" customWidth="1"/>
    <col min="40" max="40" width="3.28515625" style="1" customWidth="1"/>
    <col min="41" max="42" width="3.28515625" style="1" hidden="1" customWidth="1"/>
    <col min="43" max="44" width="3.28515625" style="1" customWidth="1"/>
    <col min="45" max="46" width="3.28515625" style="1" hidden="1" customWidth="1"/>
    <col min="47" max="48" width="3.28515625" style="1" customWidth="1"/>
    <col min="49" max="50" width="3.28515625" style="1" hidden="1" customWidth="1"/>
    <col min="51" max="52" width="3.28515625" style="1" customWidth="1"/>
    <col min="53" max="54" width="3.28515625" style="1" hidden="1" customWidth="1"/>
    <col min="55" max="56" width="3.28515625" style="1" customWidth="1"/>
    <col min="57" max="58" width="3.28515625" style="1" hidden="1" customWidth="1"/>
    <col min="59" max="60" width="3.28515625" style="1" customWidth="1"/>
    <col min="61" max="62" width="3.28515625" style="1" hidden="1" customWidth="1"/>
    <col min="63" max="64" width="3.28515625" style="1" customWidth="1"/>
    <col min="65" max="66" width="3.28515625" style="1" hidden="1" customWidth="1"/>
    <col min="67" max="68" width="3.28515625" style="1" customWidth="1"/>
    <col min="69" max="70" width="3.28515625" style="1" hidden="1" customWidth="1"/>
    <col min="71" max="72" width="3.28515625" style="1" customWidth="1"/>
    <col min="73" max="74" width="3.28515625" style="1" hidden="1" customWidth="1"/>
    <col min="75" max="75" width="3.28515625" style="1" customWidth="1"/>
    <col min="76" max="77" width="5.7109375" style="1" customWidth="1"/>
    <col min="78" max="78" width="5.28515625" style="1" customWidth="1"/>
    <col min="79" max="80" width="8.140625" style="1" customWidth="1"/>
    <col min="81" max="81" width="6.42578125" style="1" customWidth="1"/>
    <col min="82" max="82" width="14.140625" style="1" customWidth="1"/>
    <col min="83" max="83" width="7.140625" style="1" customWidth="1"/>
    <col min="84" max="16384" width="9.140625" style="1"/>
  </cols>
  <sheetData>
    <row r="1" spans="1:84" ht="15" customHeight="1">
      <c r="A1" s="142" t="s">
        <v>58</v>
      </c>
      <c r="B1" s="24" t="s">
        <v>59</v>
      </c>
      <c r="C1" s="22">
        <v>1</v>
      </c>
      <c r="D1" s="41"/>
      <c r="E1" s="41"/>
      <c r="F1" s="36" t="s">
        <v>60</v>
      </c>
      <c r="G1" s="22">
        <v>2</v>
      </c>
      <c r="H1" s="41"/>
      <c r="I1" s="41"/>
      <c r="J1" s="36" t="s">
        <v>61</v>
      </c>
      <c r="K1" s="22">
        <v>3</v>
      </c>
      <c r="L1" s="41"/>
      <c r="M1" s="41"/>
      <c r="N1" s="36" t="s">
        <v>62</v>
      </c>
      <c r="O1" s="22">
        <v>4</v>
      </c>
      <c r="P1" s="41"/>
      <c r="Q1" s="41"/>
      <c r="R1" s="36" t="s">
        <v>63</v>
      </c>
      <c r="S1" s="22">
        <v>5</v>
      </c>
      <c r="T1" s="41"/>
      <c r="U1" s="41"/>
      <c r="V1" s="36" t="s">
        <v>64</v>
      </c>
      <c r="W1" s="22">
        <v>6</v>
      </c>
      <c r="X1" s="41"/>
      <c r="Y1" s="41"/>
      <c r="Z1" s="36" t="s">
        <v>65</v>
      </c>
      <c r="AA1" s="22">
        <v>7</v>
      </c>
      <c r="AB1" s="41"/>
      <c r="AC1" s="41"/>
      <c r="AD1" s="36" t="s">
        <v>66</v>
      </c>
      <c r="AE1" s="22">
        <v>8</v>
      </c>
      <c r="AF1" s="51"/>
      <c r="AG1" s="51"/>
      <c r="AH1" s="36"/>
      <c r="AI1" s="22">
        <v>9</v>
      </c>
      <c r="AJ1" s="48"/>
      <c r="AK1" s="48"/>
      <c r="AL1" s="37" t="s">
        <v>67</v>
      </c>
      <c r="AM1" s="9" t="s">
        <v>56</v>
      </c>
      <c r="AN1" s="24">
        <v>10</v>
      </c>
      <c r="AO1" s="53"/>
      <c r="AP1" s="53"/>
      <c r="AQ1" s="36" t="s">
        <v>68</v>
      </c>
      <c r="AR1" s="22">
        <v>11</v>
      </c>
      <c r="AS1" s="41"/>
      <c r="AT1" s="41"/>
      <c r="AU1" s="36" t="s">
        <v>69</v>
      </c>
      <c r="AV1" s="22">
        <v>12</v>
      </c>
      <c r="AW1" s="41"/>
      <c r="AX1" s="41"/>
      <c r="AY1" s="36" t="s">
        <v>70</v>
      </c>
      <c r="AZ1" s="22">
        <v>13</v>
      </c>
      <c r="BA1" s="41"/>
      <c r="BB1" s="41"/>
      <c r="BC1" s="36" t="s">
        <v>71</v>
      </c>
      <c r="BD1" s="22">
        <v>14</v>
      </c>
      <c r="BE1" s="41"/>
      <c r="BF1" s="41"/>
      <c r="BG1" s="36" t="s">
        <v>72</v>
      </c>
      <c r="BH1" s="22">
        <v>15</v>
      </c>
      <c r="BI1" s="41"/>
      <c r="BJ1" s="41"/>
      <c r="BK1" s="36" t="s">
        <v>73</v>
      </c>
      <c r="BL1" s="22">
        <v>16</v>
      </c>
      <c r="BM1" s="41"/>
      <c r="BN1" s="41"/>
      <c r="BO1" s="36" t="s">
        <v>74</v>
      </c>
      <c r="BP1" s="22">
        <v>17</v>
      </c>
      <c r="BQ1" s="41"/>
      <c r="BR1" s="41"/>
      <c r="BS1" s="36" t="s">
        <v>75</v>
      </c>
      <c r="BT1" s="22">
        <v>18</v>
      </c>
      <c r="BU1" s="48"/>
      <c r="BV1" s="48"/>
      <c r="BW1" s="37" t="s">
        <v>76</v>
      </c>
      <c r="BX1" s="23" t="s">
        <v>57</v>
      </c>
      <c r="BY1" s="12" t="s">
        <v>0</v>
      </c>
      <c r="BZ1" s="34" t="s">
        <v>77</v>
      </c>
      <c r="CA1" s="35" t="s">
        <v>1</v>
      </c>
      <c r="CB1" s="82"/>
      <c r="CD1" s="29" t="s">
        <v>78</v>
      </c>
      <c r="CE1" s="30" t="s">
        <v>79</v>
      </c>
      <c r="CF1" s="29" t="s">
        <v>80</v>
      </c>
    </row>
    <row r="2" spans="1:84" ht="15" customHeight="1">
      <c r="A2" s="143"/>
      <c r="B2" s="86" t="s">
        <v>52</v>
      </c>
      <c r="C2" s="22"/>
      <c r="D2" s="41"/>
      <c r="E2" s="41"/>
      <c r="F2" s="22"/>
      <c r="G2" s="22"/>
      <c r="H2" s="41"/>
      <c r="I2" s="41"/>
      <c r="J2" s="22"/>
      <c r="K2" s="22"/>
      <c r="L2" s="41"/>
      <c r="M2" s="41"/>
      <c r="N2" s="22"/>
      <c r="O2" s="22"/>
      <c r="P2" s="41"/>
      <c r="Q2" s="41"/>
      <c r="R2" s="22"/>
      <c r="S2" s="22"/>
      <c r="T2" s="41"/>
      <c r="U2" s="41"/>
      <c r="V2" s="22"/>
      <c r="W2" s="22"/>
      <c r="X2" s="41"/>
      <c r="Y2" s="41"/>
      <c r="Z2" s="22"/>
      <c r="AA2" s="22"/>
      <c r="AB2" s="41"/>
      <c r="AC2" s="41"/>
      <c r="AD2" s="22"/>
      <c r="AE2" s="22"/>
      <c r="AF2" s="41"/>
      <c r="AG2" s="41"/>
      <c r="AH2" s="22"/>
      <c r="AI2" s="22"/>
      <c r="AJ2" s="48"/>
      <c r="AK2" s="48"/>
      <c r="AL2" s="23"/>
      <c r="AM2" s="9">
        <f>SUM(C2:AL2)</f>
        <v>0</v>
      </c>
      <c r="AN2" s="24"/>
      <c r="AO2" s="53"/>
      <c r="AP2" s="53"/>
      <c r="AQ2" s="22"/>
      <c r="AR2" s="22"/>
      <c r="AS2" s="41"/>
      <c r="AT2" s="41"/>
      <c r="AU2" s="22"/>
      <c r="AV2" s="22"/>
      <c r="AW2" s="41"/>
      <c r="AX2" s="41"/>
      <c r="AY2" s="22"/>
      <c r="AZ2" s="22"/>
      <c r="BA2" s="41"/>
      <c r="BB2" s="41"/>
      <c r="BC2" s="22"/>
      <c r="BD2" s="22"/>
      <c r="BE2" s="41"/>
      <c r="BF2" s="41"/>
      <c r="BG2" s="22"/>
      <c r="BH2" s="22"/>
      <c r="BI2" s="41"/>
      <c r="BJ2" s="41"/>
      <c r="BK2" s="22"/>
      <c r="BL2" s="22"/>
      <c r="BM2" s="41"/>
      <c r="BN2" s="41"/>
      <c r="BO2" s="22"/>
      <c r="BP2" s="22"/>
      <c r="BQ2" s="41"/>
      <c r="BR2" s="41"/>
      <c r="BS2" s="22"/>
      <c r="BT2" s="22"/>
      <c r="BU2" s="48"/>
      <c r="BV2" s="48"/>
      <c r="BW2" s="23"/>
      <c r="BX2" s="10">
        <f>SUM(AN2:BW2)</f>
        <v>0</v>
      </c>
      <c r="BY2" s="10">
        <f>SUM(AM2+BX2)</f>
        <v>0</v>
      </c>
      <c r="BZ2" s="25" t="s">
        <v>81</v>
      </c>
      <c r="CA2" s="33"/>
      <c r="CB2" s="82"/>
      <c r="CD2" s="31" t="s">
        <v>82</v>
      </c>
      <c r="CE2" s="2">
        <v>-3</v>
      </c>
      <c r="CF2" s="2">
        <v>5</v>
      </c>
    </row>
    <row r="3" spans="1:84">
      <c r="A3" s="143"/>
      <c r="B3" s="87" t="s">
        <v>83</v>
      </c>
      <c r="C3" s="22"/>
      <c r="D3" s="41"/>
      <c r="E3" s="41"/>
      <c r="F3" s="22"/>
      <c r="G3" s="22"/>
      <c r="H3" s="41"/>
      <c r="I3" s="41"/>
      <c r="J3" s="22"/>
      <c r="K3" s="22"/>
      <c r="L3" s="41"/>
      <c r="M3" s="41"/>
      <c r="N3" s="22"/>
      <c r="O3" s="22"/>
      <c r="P3" s="41"/>
      <c r="Q3" s="41"/>
      <c r="R3" s="22"/>
      <c r="S3" s="22"/>
      <c r="T3" s="41"/>
      <c r="U3" s="41"/>
      <c r="V3" s="22"/>
      <c r="W3" s="22"/>
      <c r="X3" s="41"/>
      <c r="Y3" s="41"/>
      <c r="Z3" s="22"/>
      <c r="AA3" s="22"/>
      <c r="AB3" s="41"/>
      <c r="AC3" s="41"/>
      <c r="AD3" s="22"/>
      <c r="AE3" s="22"/>
      <c r="AF3" s="41"/>
      <c r="AG3" s="41"/>
      <c r="AH3" s="22"/>
      <c r="AI3" s="22"/>
      <c r="AJ3" s="48"/>
      <c r="AK3" s="48"/>
      <c r="AL3" s="23"/>
      <c r="AM3" s="9" t="s">
        <v>84</v>
      </c>
      <c r="AN3" s="24"/>
      <c r="AO3" s="53"/>
      <c r="AP3" s="53"/>
      <c r="AQ3" s="22"/>
      <c r="AR3" s="22"/>
      <c r="AS3" s="41"/>
      <c r="AT3" s="41"/>
      <c r="AU3" s="22"/>
      <c r="AV3" s="22"/>
      <c r="AW3" s="41"/>
      <c r="AX3" s="41"/>
      <c r="AY3" s="22"/>
      <c r="AZ3" s="22"/>
      <c r="BA3" s="41"/>
      <c r="BB3" s="41"/>
      <c r="BC3" s="22"/>
      <c r="BD3" s="22"/>
      <c r="BE3" s="41"/>
      <c r="BF3" s="41"/>
      <c r="BG3" s="22"/>
      <c r="BH3" s="22"/>
      <c r="BI3" s="41"/>
      <c r="BJ3" s="41"/>
      <c r="BK3" s="22"/>
      <c r="BL3" s="22"/>
      <c r="BM3" s="41"/>
      <c r="BN3" s="41"/>
      <c r="BO3" s="22"/>
      <c r="BP3" s="22"/>
      <c r="BQ3" s="41"/>
      <c r="BR3" s="41"/>
      <c r="BS3" s="22"/>
      <c r="BT3" s="22"/>
      <c r="BU3" s="48"/>
      <c r="BV3" s="48"/>
      <c r="BW3" s="23"/>
      <c r="BX3" s="11" t="s">
        <v>84</v>
      </c>
      <c r="BY3" s="11" t="s">
        <v>84</v>
      </c>
      <c r="BZ3" s="79"/>
      <c r="CA3" s="84" t="s">
        <v>1</v>
      </c>
      <c r="CB3" s="80" t="s">
        <v>85</v>
      </c>
      <c r="CD3" s="2" t="s">
        <v>86</v>
      </c>
      <c r="CE3" s="2">
        <v>-2</v>
      </c>
      <c r="CF3" s="2">
        <v>4</v>
      </c>
    </row>
    <row r="4" spans="1:84">
      <c r="A4" s="143"/>
      <c r="B4" s="24" t="s">
        <v>36</v>
      </c>
      <c r="C4" s="5"/>
      <c r="D4" s="44"/>
      <c r="E4" s="44"/>
      <c r="F4" s="5"/>
      <c r="G4" s="6"/>
      <c r="H4" s="44"/>
      <c r="I4" s="44"/>
      <c r="J4" s="6"/>
      <c r="K4" s="5"/>
      <c r="L4" s="44"/>
      <c r="M4" s="44"/>
      <c r="N4" s="5"/>
      <c r="O4" s="6"/>
      <c r="P4" s="44"/>
      <c r="Q4" s="44"/>
      <c r="R4" s="6"/>
      <c r="S4" s="5"/>
      <c r="T4" s="44"/>
      <c r="U4" s="44"/>
      <c r="V4" s="5"/>
      <c r="W4" s="6"/>
      <c r="X4" s="44"/>
      <c r="Y4" s="44"/>
      <c r="Z4" s="6"/>
      <c r="AA4" s="5"/>
      <c r="AB4" s="44"/>
      <c r="AC4" s="44"/>
      <c r="AD4" s="6"/>
      <c r="AE4" s="6"/>
      <c r="AF4" s="42"/>
      <c r="AG4" s="42"/>
      <c r="AH4" s="6"/>
      <c r="AI4" s="5"/>
      <c r="AJ4" s="49"/>
      <c r="AK4" s="49"/>
      <c r="AL4" s="16"/>
      <c r="AM4" s="9">
        <f t="shared" ref="AM4:AM12" si="0">SUM(F4+J4+N4+R4+V4+Z4+AB4+AD4+AL4)</f>
        <v>0</v>
      </c>
      <c r="AN4" s="7"/>
      <c r="AO4" s="54"/>
      <c r="AP4" s="54"/>
      <c r="AQ4" s="6"/>
      <c r="AR4" s="5"/>
      <c r="AS4" s="42"/>
      <c r="AT4" s="42"/>
      <c r="AU4" s="5"/>
      <c r="AV4" s="6"/>
      <c r="AW4" s="42"/>
      <c r="AX4" s="42"/>
      <c r="AY4" s="6"/>
      <c r="AZ4" s="5"/>
      <c r="BA4" s="42"/>
      <c r="BB4" s="42"/>
      <c r="BC4" s="5"/>
      <c r="BD4" s="6"/>
      <c r="BE4" s="42"/>
      <c r="BF4" s="42"/>
      <c r="BG4" s="6"/>
      <c r="BH4" s="5"/>
      <c r="BI4" s="42"/>
      <c r="BJ4" s="42"/>
      <c r="BK4" s="5"/>
      <c r="BL4" s="6"/>
      <c r="BM4" s="42"/>
      <c r="BN4" s="42"/>
      <c r="BO4" s="6"/>
      <c r="BP4" s="5"/>
      <c r="BQ4" s="42"/>
      <c r="BR4" s="42"/>
      <c r="BS4" s="5"/>
      <c r="BT4" s="6"/>
      <c r="BU4" s="56"/>
      <c r="BV4" s="56"/>
      <c r="BW4" s="17"/>
      <c r="BX4" s="12">
        <f>SUM(AQ4+AU4+AY4+BC4+BG4+BK4+BO4+BS4+BW4)</f>
        <v>0</v>
      </c>
      <c r="BY4" s="12">
        <f>SUM(AM4+BX4)</f>
        <v>0</v>
      </c>
      <c r="BZ4" s="27"/>
      <c r="CA4" s="85">
        <f>RANK(BY4,$BY$4:$BY$12)</f>
        <v>1</v>
      </c>
      <c r="CB4" s="83"/>
      <c r="CD4" s="2" t="s">
        <v>87</v>
      </c>
      <c r="CE4" s="2">
        <v>-1</v>
      </c>
      <c r="CF4" s="2">
        <v>3</v>
      </c>
    </row>
    <row r="5" spans="1:84">
      <c r="A5" s="143"/>
      <c r="B5" s="24" t="s">
        <v>88</v>
      </c>
      <c r="C5" s="5"/>
      <c r="D5" s="44"/>
      <c r="E5" s="44"/>
      <c r="F5" s="5"/>
      <c r="G5" s="6"/>
      <c r="H5" s="44"/>
      <c r="I5" s="44"/>
      <c r="J5" s="6"/>
      <c r="K5" s="5"/>
      <c r="L5" s="44"/>
      <c r="M5" s="44"/>
      <c r="N5" s="5"/>
      <c r="O5" s="6"/>
      <c r="P5" s="44"/>
      <c r="Q5" s="44"/>
      <c r="R5" s="6"/>
      <c r="S5" s="5"/>
      <c r="T5" s="44"/>
      <c r="U5" s="44"/>
      <c r="V5" s="5"/>
      <c r="W5" s="6"/>
      <c r="X5" s="44"/>
      <c r="Y5" s="44"/>
      <c r="Z5" s="6"/>
      <c r="AA5" s="5"/>
      <c r="AB5" s="44"/>
      <c r="AC5" s="44"/>
      <c r="AD5" s="6"/>
      <c r="AE5" s="6"/>
      <c r="AF5" s="42"/>
      <c r="AG5" s="42"/>
      <c r="AH5" s="6"/>
      <c r="AI5" s="5"/>
      <c r="AJ5" s="49"/>
      <c r="AK5" s="49"/>
      <c r="AL5" s="16"/>
      <c r="AM5" s="9">
        <f t="shared" si="0"/>
        <v>0</v>
      </c>
      <c r="AN5" s="7"/>
      <c r="AO5" s="54"/>
      <c r="AP5" s="54"/>
      <c r="AQ5" s="6"/>
      <c r="AR5" s="5"/>
      <c r="AS5" s="42"/>
      <c r="AT5" s="42"/>
      <c r="AU5" s="5"/>
      <c r="AV5" s="6"/>
      <c r="AW5" s="42"/>
      <c r="AX5" s="42"/>
      <c r="AY5" s="6"/>
      <c r="AZ5" s="5"/>
      <c r="BA5" s="42"/>
      <c r="BB5" s="42"/>
      <c r="BC5" s="5"/>
      <c r="BD5" s="6"/>
      <c r="BE5" s="42"/>
      <c r="BF5" s="42"/>
      <c r="BG5" s="6"/>
      <c r="BH5" s="5"/>
      <c r="BI5" s="42"/>
      <c r="BJ5" s="42"/>
      <c r="BK5" s="5"/>
      <c r="BL5" s="6"/>
      <c r="BM5" s="42"/>
      <c r="BN5" s="42"/>
      <c r="BO5" s="6"/>
      <c r="BP5" s="5"/>
      <c r="BQ5" s="42"/>
      <c r="BR5" s="42"/>
      <c r="BS5" s="5"/>
      <c r="BT5" s="6"/>
      <c r="BU5" s="56"/>
      <c r="BV5" s="56"/>
      <c r="BW5" s="17"/>
      <c r="BX5" s="12">
        <f t="shared" ref="BX5:BX12" si="1">SUM(AQ5+AU5+AY5+BC5+BG5+BK5+BO5+BS5+BW5)</f>
        <v>0</v>
      </c>
      <c r="BY5" s="12">
        <f t="shared" ref="BY5:BY12" si="2">SUM(AM5+BX5)</f>
        <v>0</v>
      </c>
      <c r="BZ5" s="28"/>
      <c r="CA5" s="85">
        <f t="shared" ref="CA5:CA12" si="3">RANK(BY5,$BY$4:$BY$12)</f>
        <v>1</v>
      </c>
      <c r="CB5" s="83"/>
      <c r="CD5" s="2" t="s">
        <v>52</v>
      </c>
      <c r="CE5" s="2">
        <v>0</v>
      </c>
      <c r="CF5" s="2">
        <v>2</v>
      </c>
    </row>
    <row r="6" spans="1:84">
      <c r="A6" s="143"/>
      <c r="B6" s="24" t="s">
        <v>89</v>
      </c>
      <c r="C6" s="5"/>
      <c r="D6" s="44"/>
      <c r="E6" s="44"/>
      <c r="F6" s="5"/>
      <c r="G6" s="6"/>
      <c r="H6" s="44"/>
      <c r="I6" s="44"/>
      <c r="J6" s="6"/>
      <c r="K6" s="5"/>
      <c r="L6" s="44"/>
      <c r="M6" s="44"/>
      <c r="N6" s="5"/>
      <c r="O6" s="6"/>
      <c r="P6" s="44"/>
      <c r="Q6" s="44"/>
      <c r="R6" s="6"/>
      <c r="S6" s="5"/>
      <c r="T6" s="44"/>
      <c r="U6" s="44"/>
      <c r="V6" s="5"/>
      <c r="W6" s="6"/>
      <c r="X6" s="44"/>
      <c r="Y6" s="44"/>
      <c r="Z6" s="6"/>
      <c r="AA6" s="5"/>
      <c r="AB6" s="44"/>
      <c r="AC6" s="44"/>
      <c r="AD6" s="6"/>
      <c r="AE6" s="6"/>
      <c r="AF6" s="42"/>
      <c r="AG6" s="42"/>
      <c r="AH6" s="6"/>
      <c r="AI6" s="5"/>
      <c r="AJ6" s="49"/>
      <c r="AK6" s="49"/>
      <c r="AL6" s="16"/>
      <c r="AM6" s="9">
        <f t="shared" si="0"/>
        <v>0</v>
      </c>
      <c r="AN6" s="7"/>
      <c r="AO6" s="54"/>
      <c r="AP6" s="54"/>
      <c r="AQ6" s="6"/>
      <c r="AR6" s="5"/>
      <c r="AS6" s="42"/>
      <c r="AT6" s="42"/>
      <c r="AU6" s="5"/>
      <c r="AV6" s="6"/>
      <c r="AW6" s="42"/>
      <c r="AX6" s="42"/>
      <c r="AY6" s="6"/>
      <c r="AZ6" s="5"/>
      <c r="BA6" s="42"/>
      <c r="BB6" s="42"/>
      <c r="BC6" s="5"/>
      <c r="BD6" s="6"/>
      <c r="BE6" s="42"/>
      <c r="BF6" s="42"/>
      <c r="BG6" s="6"/>
      <c r="BH6" s="5"/>
      <c r="BI6" s="42"/>
      <c r="BJ6" s="42"/>
      <c r="BK6" s="5"/>
      <c r="BL6" s="6"/>
      <c r="BM6" s="42"/>
      <c r="BN6" s="42"/>
      <c r="BO6" s="6"/>
      <c r="BP6" s="5"/>
      <c r="BQ6" s="42"/>
      <c r="BR6" s="42"/>
      <c r="BS6" s="5"/>
      <c r="BT6" s="6"/>
      <c r="BU6" s="56"/>
      <c r="BV6" s="56"/>
      <c r="BW6" s="17"/>
      <c r="BX6" s="12">
        <f t="shared" si="1"/>
        <v>0</v>
      </c>
      <c r="BY6" s="12">
        <f t="shared" si="2"/>
        <v>0</v>
      </c>
      <c r="BZ6" s="28"/>
      <c r="CA6" s="85">
        <f t="shared" si="3"/>
        <v>1</v>
      </c>
      <c r="CB6" s="83"/>
      <c r="CD6" s="2" t="s">
        <v>90</v>
      </c>
      <c r="CE6" s="2">
        <v>1</v>
      </c>
      <c r="CF6" s="2">
        <v>1</v>
      </c>
    </row>
    <row r="7" spans="1:84">
      <c r="A7" s="143"/>
      <c r="B7" s="24" t="s">
        <v>16</v>
      </c>
      <c r="C7" s="5"/>
      <c r="D7" s="44"/>
      <c r="E7" s="44"/>
      <c r="F7" s="5"/>
      <c r="G7" s="6"/>
      <c r="H7" s="44"/>
      <c r="I7" s="44"/>
      <c r="J7" s="6"/>
      <c r="K7" s="5"/>
      <c r="L7" s="44"/>
      <c r="M7" s="44"/>
      <c r="N7" s="5"/>
      <c r="O7" s="6"/>
      <c r="P7" s="44"/>
      <c r="Q7" s="44"/>
      <c r="R7" s="6"/>
      <c r="S7" s="5"/>
      <c r="T7" s="44"/>
      <c r="U7" s="44"/>
      <c r="V7" s="5"/>
      <c r="W7" s="6"/>
      <c r="X7" s="44"/>
      <c r="Y7" s="44"/>
      <c r="Z7" s="6"/>
      <c r="AA7" s="5"/>
      <c r="AB7" s="44"/>
      <c r="AC7" s="44"/>
      <c r="AD7" s="6"/>
      <c r="AE7" s="6"/>
      <c r="AF7" s="42"/>
      <c r="AG7" s="42"/>
      <c r="AH7" s="6"/>
      <c r="AI7" s="5"/>
      <c r="AJ7" s="49"/>
      <c r="AK7" s="49"/>
      <c r="AL7" s="16"/>
      <c r="AM7" s="9">
        <f t="shared" si="0"/>
        <v>0</v>
      </c>
      <c r="AN7" s="7"/>
      <c r="AO7" s="54"/>
      <c r="AP7" s="54"/>
      <c r="AQ7" s="6"/>
      <c r="AR7" s="5"/>
      <c r="AS7" s="42"/>
      <c r="AT7" s="42"/>
      <c r="AU7" s="5"/>
      <c r="AV7" s="6"/>
      <c r="AW7" s="42"/>
      <c r="AX7" s="42"/>
      <c r="AY7" s="6"/>
      <c r="AZ7" s="5"/>
      <c r="BA7" s="42"/>
      <c r="BB7" s="42"/>
      <c r="BC7" s="5"/>
      <c r="BD7" s="6"/>
      <c r="BE7" s="42"/>
      <c r="BF7" s="42"/>
      <c r="BG7" s="6"/>
      <c r="BH7" s="5"/>
      <c r="BI7" s="42"/>
      <c r="BJ7" s="42"/>
      <c r="BK7" s="5"/>
      <c r="BL7" s="6"/>
      <c r="BM7" s="42"/>
      <c r="BN7" s="42"/>
      <c r="BO7" s="6"/>
      <c r="BP7" s="5"/>
      <c r="BQ7" s="42"/>
      <c r="BR7" s="42"/>
      <c r="BS7" s="5"/>
      <c r="BT7" s="6"/>
      <c r="BU7" s="56"/>
      <c r="BV7" s="56"/>
      <c r="BW7" s="17"/>
      <c r="BX7" s="12">
        <f t="shared" si="1"/>
        <v>0</v>
      </c>
      <c r="BY7" s="12">
        <f t="shared" si="2"/>
        <v>0</v>
      </c>
      <c r="BZ7" s="28"/>
      <c r="CA7" s="85">
        <f t="shared" si="3"/>
        <v>1</v>
      </c>
      <c r="CB7" s="83"/>
      <c r="CD7" s="2" t="s">
        <v>91</v>
      </c>
      <c r="CE7" s="2">
        <v>2</v>
      </c>
      <c r="CF7" s="2">
        <v>0</v>
      </c>
    </row>
    <row r="8" spans="1:84">
      <c r="A8" s="143"/>
      <c r="B8" s="24" t="s">
        <v>18</v>
      </c>
      <c r="C8" s="5"/>
      <c r="D8" s="44"/>
      <c r="E8" s="44"/>
      <c r="F8" s="5"/>
      <c r="G8" s="6"/>
      <c r="H8" s="44"/>
      <c r="I8" s="44"/>
      <c r="J8" s="6"/>
      <c r="K8" s="5"/>
      <c r="L8" s="44"/>
      <c r="M8" s="44"/>
      <c r="N8" s="5"/>
      <c r="O8" s="6"/>
      <c r="P8" s="44"/>
      <c r="Q8" s="44"/>
      <c r="R8" s="6"/>
      <c r="S8" s="5"/>
      <c r="T8" s="44"/>
      <c r="U8" s="44"/>
      <c r="V8" s="5"/>
      <c r="W8" s="6"/>
      <c r="X8" s="44"/>
      <c r="Y8" s="44"/>
      <c r="Z8" s="6"/>
      <c r="AA8" s="5"/>
      <c r="AB8" s="44"/>
      <c r="AC8" s="44"/>
      <c r="AD8" s="6"/>
      <c r="AE8" s="6"/>
      <c r="AF8" s="42"/>
      <c r="AG8" s="42"/>
      <c r="AH8" s="6"/>
      <c r="AI8" s="5"/>
      <c r="AJ8" s="49"/>
      <c r="AK8" s="49"/>
      <c r="AL8" s="16"/>
      <c r="AM8" s="9">
        <f t="shared" si="0"/>
        <v>0</v>
      </c>
      <c r="AN8" s="7"/>
      <c r="AO8" s="54"/>
      <c r="AP8" s="54"/>
      <c r="AQ8" s="6"/>
      <c r="AR8" s="5"/>
      <c r="AS8" s="42"/>
      <c r="AT8" s="42"/>
      <c r="AU8" s="5"/>
      <c r="AV8" s="6"/>
      <c r="AW8" s="42"/>
      <c r="AX8" s="42"/>
      <c r="AY8" s="6"/>
      <c r="AZ8" s="5"/>
      <c r="BA8" s="42"/>
      <c r="BB8" s="42"/>
      <c r="BC8" s="5"/>
      <c r="BD8" s="6"/>
      <c r="BE8" s="42"/>
      <c r="BF8" s="42"/>
      <c r="BG8" s="6"/>
      <c r="BH8" s="5"/>
      <c r="BI8" s="42"/>
      <c r="BJ8" s="42"/>
      <c r="BK8" s="5"/>
      <c r="BL8" s="6"/>
      <c r="BM8" s="42"/>
      <c r="BN8" s="42"/>
      <c r="BO8" s="6"/>
      <c r="BP8" s="5"/>
      <c r="BQ8" s="42"/>
      <c r="BR8" s="42"/>
      <c r="BS8" s="5"/>
      <c r="BT8" s="6"/>
      <c r="BU8" s="56"/>
      <c r="BV8" s="56"/>
      <c r="BW8" s="17"/>
      <c r="BX8" s="12">
        <f t="shared" si="1"/>
        <v>0</v>
      </c>
      <c r="BY8" s="12">
        <f t="shared" si="2"/>
        <v>0</v>
      </c>
      <c r="BZ8" s="28"/>
      <c r="CA8" s="85">
        <f t="shared" si="3"/>
        <v>1</v>
      </c>
      <c r="CB8" s="83"/>
    </row>
    <row r="9" spans="1:84">
      <c r="A9" s="143"/>
      <c r="B9" s="24" t="s">
        <v>40</v>
      </c>
      <c r="C9" s="5"/>
      <c r="D9" s="44"/>
      <c r="E9" s="44"/>
      <c r="F9" s="5"/>
      <c r="G9" s="6"/>
      <c r="H9" s="44"/>
      <c r="I9" s="44"/>
      <c r="J9" s="6"/>
      <c r="K9" s="5"/>
      <c r="L9" s="44"/>
      <c r="M9" s="44"/>
      <c r="N9" s="5"/>
      <c r="O9" s="6"/>
      <c r="P9" s="44"/>
      <c r="Q9" s="44"/>
      <c r="R9" s="6"/>
      <c r="S9" s="5"/>
      <c r="T9" s="44"/>
      <c r="U9" s="44"/>
      <c r="V9" s="5"/>
      <c r="W9" s="6"/>
      <c r="X9" s="44"/>
      <c r="Y9" s="44"/>
      <c r="Z9" s="6"/>
      <c r="AA9" s="5"/>
      <c r="AB9" s="44"/>
      <c r="AC9" s="44"/>
      <c r="AD9" s="6"/>
      <c r="AE9" s="6"/>
      <c r="AF9" s="42"/>
      <c r="AG9" s="42"/>
      <c r="AH9" s="6"/>
      <c r="AI9" s="5"/>
      <c r="AJ9" s="49"/>
      <c r="AK9" s="49"/>
      <c r="AL9" s="16"/>
      <c r="AM9" s="9">
        <f t="shared" si="0"/>
        <v>0</v>
      </c>
      <c r="AN9" s="7"/>
      <c r="AO9" s="54"/>
      <c r="AP9" s="54"/>
      <c r="AQ9" s="6"/>
      <c r="AR9" s="5"/>
      <c r="AS9" s="42"/>
      <c r="AT9" s="42"/>
      <c r="AU9" s="5"/>
      <c r="AV9" s="6"/>
      <c r="AW9" s="42"/>
      <c r="AX9" s="42"/>
      <c r="AY9" s="6"/>
      <c r="AZ9" s="5"/>
      <c r="BA9" s="42"/>
      <c r="BB9" s="42"/>
      <c r="BC9" s="5"/>
      <c r="BD9" s="6"/>
      <c r="BE9" s="42"/>
      <c r="BF9" s="42"/>
      <c r="BG9" s="6"/>
      <c r="BH9" s="5"/>
      <c r="BI9" s="42"/>
      <c r="BJ9" s="42"/>
      <c r="BK9" s="5"/>
      <c r="BL9" s="6"/>
      <c r="BM9" s="42"/>
      <c r="BN9" s="42"/>
      <c r="BO9" s="6"/>
      <c r="BP9" s="5"/>
      <c r="BQ9" s="42"/>
      <c r="BR9" s="42"/>
      <c r="BS9" s="5"/>
      <c r="BT9" s="6"/>
      <c r="BU9" s="56"/>
      <c r="BV9" s="56"/>
      <c r="BW9" s="17"/>
      <c r="BX9" s="12">
        <f t="shared" si="1"/>
        <v>0</v>
      </c>
      <c r="BY9" s="12">
        <f t="shared" si="2"/>
        <v>0</v>
      </c>
      <c r="BZ9" s="28"/>
      <c r="CA9" s="85">
        <f t="shared" si="3"/>
        <v>1</v>
      </c>
      <c r="CB9" s="83"/>
    </row>
    <row r="10" spans="1:84">
      <c r="A10" s="143"/>
      <c r="B10" s="24" t="s">
        <v>34</v>
      </c>
      <c r="C10" s="5"/>
      <c r="D10" s="44"/>
      <c r="E10" s="44"/>
      <c r="F10" s="5"/>
      <c r="G10" s="6"/>
      <c r="H10" s="44"/>
      <c r="I10" s="44"/>
      <c r="J10" s="6"/>
      <c r="K10" s="5"/>
      <c r="L10" s="44"/>
      <c r="M10" s="44"/>
      <c r="N10" s="5"/>
      <c r="O10" s="6"/>
      <c r="P10" s="44"/>
      <c r="Q10" s="44"/>
      <c r="R10" s="6"/>
      <c r="S10" s="5"/>
      <c r="T10" s="44"/>
      <c r="U10" s="44"/>
      <c r="V10" s="5"/>
      <c r="W10" s="6"/>
      <c r="X10" s="44"/>
      <c r="Y10" s="44"/>
      <c r="Z10" s="6"/>
      <c r="AA10" s="5"/>
      <c r="AB10" s="44"/>
      <c r="AC10" s="44"/>
      <c r="AD10" s="6"/>
      <c r="AE10" s="6"/>
      <c r="AF10" s="42"/>
      <c r="AG10" s="42"/>
      <c r="AH10" s="6"/>
      <c r="AI10" s="5"/>
      <c r="AJ10" s="49"/>
      <c r="AK10" s="49"/>
      <c r="AL10" s="16"/>
      <c r="AM10" s="9">
        <f t="shared" si="0"/>
        <v>0</v>
      </c>
      <c r="AN10" s="7"/>
      <c r="AO10" s="54"/>
      <c r="AP10" s="54"/>
      <c r="AQ10" s="6"/>
      <c r="AR10" s="5"/>
      <c r="AS10" s="42"/>
      <c r="AT10" s="42"/>
      <c r="AU10" s="5"/>
      <c r="AV10" s="6"/>
      <c r="AW10" s="42"/>
      <c r="AX10" s="42"/>
      <c r="AY10" s="6"/>
      <c r="AZ10" s="5"/>
      <c r="BA10" s="42"/>
      <c r="BB10" s="42"/>
      <c r="BC10" s="5"/>
      <c r="BD10" s="6"/>
      <c r="BE10" s="42"/>
      <c r="BF10" s="42"/>
      <c r="BG10" s="6"/>
      <c r="BH10" s="5"/>
      <c r="BI10" s="42"/>
      <c r="BJ10" s="42"/>
      <c r="BK10" s="5"/>
      <c r="BL10" s="6"/>
      <c r="BM10" s="42"/>
      <c r="BN10" s="42"/>
      <c r="BO10" s="6"/>
      <c r="BP10" s="5"/>
      <c r="BQ10" s="42"/>
      <c r="BR10" s="42"/>
      <c r="BS10" s="5"/>
      <c r="BT10" s="6"/>
      <c r="BU10" s="56"/>
      <c r="BV10" s="56"/>
      <c r="BW10" s="17"/>
      <c r="BX10" s="12">
        <f t="shared" si="1"/>
        <v>0</v>
      </c>
      <c r="BY10" s="12">
        <f t="shared" si="2"/>
        <v>0</v>
      </c>
      <c r="BZ10" s="28"/>
      <c r="CA10" s="85">
        <f t="shared" si="3"/>
        <v>1</v>
      </c>
      <c r="CB10" s="83"/>
    </row>
    <row r="11" spans="1:84">
      <c r="A11" s="143"/>
      <c r="B11" s="24" t="s">
        <v>92</v>
      </c>
      <c r="C11" s="5"/>
      <c r="D11" s="44"/>
      <c r="E11" s="44"/>
      <c r="F11" s="5"/>
      <c r="G11" s="6"/>
      <c r="H11" s="44"/>
      <c r="I11" s="44"/>
      <c r="J11" s="6"/>
      <c r="K11" s="5"/>
      <c r="L11" s="44"/>
      <c r="M11" s="44"/>
      <c r="N11" s="5"/>
      <c r="O11" s="6"/>
      <c r="P11" s="44"/>
      <c r="Q11" s="44"/>
      <c r="R11" s="6"/>
      <c r="S11" s="5"/>
      <c r="T11" s="44"/>
      <c r="U11" s="44"/>
      <c r="V11" s="5"/>
      <c r="W11" s="6"/>
      <c r="X11" s="44"/>
      <c r="Y11" s="44"/>
      <c r="Z11" s="6"/>
      <c r="AA11" s="5"/>
      <c r="AB11" s="44"/>
      <c r="AC11" s="44"/>
      <c r="AD11" s="6"/>
      <c r="AE11" s="6"/>
      <c r="AF11" s="42"/>
      <c r="AG11" s="42"/>
      <c r="AH11" s="6"/>
      <c r="AI11" s="5"/>
      <c r="AJ11" s="49"/>
      <c r="AK11" s="49"/>
      <c r="AL11" s="16"/>
      <c r="AM11" s="9">
        <f t="shared" si="0"/>
        <v>0</v>
      </c>
      <c r="AN11" s="7"/>
      <c r="AO11" s="54"/>
      <c r="AP11" s="54"/>
      <c r="AQ11" s="6"/>
      <c r="AR11" s="5"/>
      <c r="AS11" s="42"/>
      <c r="AT11" s="42"/>
      <c r="AU11" s="5"/>
      <c r="AV11" s="6"/>
      <c r="AW11" s="42"/>
      <c r="AX11" s="42"/>
      <c r="AY11" s="6"/>
      <c r="AZ11" s="5"/>
      <c r="BA11" s="42"/>
      <c r="BB11" s="42"/>
      <c r="BC11" s="5"/>
      <c r="BD11" s="6"/>
      <c r="BE11" s="42"/>
      <c r="BF11" s="42"/>
      <c r="BG11" s="6"/>
      <c r="BH11" s="5"/>
      <c r="BI11" s="42"/>
      <c r="BJ11" s="42"/>
      <c r="BK11" s="5"/>
      <c r="BL11" s="6"/>
      <c r="BM11" s="42"/>
      <c r="BN11" s="42"/>
      <c r="BO11" s="6"/>
      <c r="BP11" s="5"/>
      <c r="BQ11" s="42"/>
      <c r="BR11" s="42"/>
      <c r="BS11" s="5"/>
      <c r="BT11" s="6"/>
      <c r="BU11" s="56"/>
      <c r="BV11" s="56"/>
      <c r="BW11" s="17"/>
      <c r="BX11" s="12">
        <f t="shared" si="1"/>
        <v>0</v>
      </c>
      <c r="BY11" s="12">
        <f t="shared" si="2"/>
        <v>0</v>
      </c>
      <c r="BZ11" s="28"/>
      <c r="CA11" s="85">
        <f t="shared" si="3"/>
        <v>1</v>
      </c>
      <c r="CB11" s="83"/>
    </row>
    <row r="12" spans="1:84">
      <c r="A12" s="143"/>
      <c r="B12" s="86" t="s">
        <v>14</v>
      </c>
      <c r="C12" s="3"/>
      <c r="D12" s="44"/>
      <c r="E12" s="44"/>
      <c r="F12" s="5"/>
      <c r="G12" s="4"/>
      <c r="H12" s="46"/>
      <c r="I12" s="46"/>
      <c r="J12" s="4"/>
      <c r="K12" s="3"/>
      <c r="L12" s="46"/>
      <c r="M12" s="46"/>
      <c r="N12" s="3"/>
      <c r="O12" s="4"/>
      <c r="P12" s="46"/>
      <c r="Q12" s="46"/>
      <c r="R12" s="4"/>
      <c r="S12" s="3"/>
      <c r="T12" s="46"/>
      <c r="U12" s="46"/>
      <c r="V12" s="3"/>
      <c r="W12" s="4"/>
      <c r="X12" s="46"/>
      <c r="Y12" s="46"/>
      <c r="Z12" s="4"/>
      <c r="AA12" s="3"/>
      <c r="AB12" s="46"/>
      <c r="AC12" s="46"/>
      <c r="AD12" s="4"/>
      <c r="AE12" s="4"/>
      <c r="AF12" s="47"/>
      <c r="AG12" s="47"/>
      <c r="AH12" s="4"/>
      <c r="AI12" s="3"/>
      <c r="AJ12" s="50"/>
      <c r="AK12" s="50"/>
      <c r="AL12" s="18"/>
      <c r="AM12" s="9">
        <f t="shared" si="0"/>
        <v>0</v>
      </c>
      <c r="AN12" s="8"/>
      <c r="AO12" s="55"/>
      <c r="AP12" s="55"/>
      <c r="AQ12" s="4"/>
      <c r="AR12" s="3"/>
      <c r="AS12" s="47"/>
      <c r="AT12" s="47"/>
      <c r="AU12" s="3"/>
      <c r="AV12" s="4"/>
      <c r="AW12" s="47"/>
      <c r="AX12" s="47"/>
      <c r="AY12" s="4"/>
      <c r="AZ12" s="3"/>
      <c r="BA12" s="47"/>
      <c r="BB12" s="47"/>
      <c r="BC12" s="3"/>
      <c r="BD12" s="4"/>
      <c r="BE12" s="47"/>
      <c r="BF12" s="47"/>
      <c r="BG12" s="4"/>
      <c r="BH12" s="3"/>
      <c r="BI12" s="47"/>
      <c r="BJ12" s="47"/>
      <c r="BK12" s="3"/>
      <c r="BL12" s="4"/>
      <c r="BM12" s="47"/>
      <c r="BN12" s="47"/>
      <c r="BO12" s="4"/>
      <c r="BP12" s="3"/>
      <c r="BQ12" s="47"/>
      <c r="BR12" s="47"/>
      <c r="BS12" s="3"/>
      <c r="BT12" s="4"/>
      <c r="BU12" s="57"/>
      <c r="BV12" s="57"/>
      <c r="BW12" s="19"/>
      <c r="BX12" s="12">
        <f t="shared" si="1"/>
        <v>0</v>
      </c>
      <c r="BY12" s="12">
        <f t="shared" si="2"/>
        <v>0</v>
      </c>
      <c r="BZ12" s="28"/>
      <c r="CA12" s="85">
        <f t="shared" si="3"/>
        <v>1</v>
      </c>
      <c r="CB12" s="83"/>
    </row>
    <row r="13" spans="1:84" ht="15" customHeight="1">
      <c r="A13" s="143"/>
      <c r="B13" s="20"/>
      <c r="C13" s="20"/>
      <c r="D13" s="45"/>
      <c r="E13" s="45"/>
      <c r="F13" s="20"/>
      <c r="G13" s="20"/>
      <c r="H13" s="45"/>
      <c r="I13" s="45"/>
      <c r="J13" s="20"/>
      <c r="K13" s="20"/>
      <c r="L13" s="45"/>
      <c r="M13" s="45"/>
      <c r="N13" s="20"/>
      <c r="O13" s="20"/>
      <c r="P13" s="45"/>
      <c r="Q13" s="45"/>
      <c r="R13" s="20"/>
      <c r="S13" s="20"/>
      <c r="T13" s="45"/>
      <c r="U13" s="45"/>
      <c r="V13" s="20"/>
      <c r="W13" s="20"/>
      <c r="X13" s="45"/>
      <c r="Y13" s="45"/>
      <c r="Z13" s="20"/>
      <c r="AA13" s="20"/>
      <c r="AB13" s="45"/>
      <c r="AC13" s="45"/>
      <c r="AD13" s="20"/>
      <c r="AE13" s="20"/>
      <c r="AF13" s="43"/>
      <c r="AG13" s="43"/>
      <c r="AH13" s="20"/>
      <c r="AI13" s="20"/>
      <c r="AJ13" s="45"/>
      <c r="AK13" s="45"/>
      <c r="AL13" s="20"/>
      <c r="AM13" s="20"/>
      <c r="AN13" s="20"/>
      <c r="AO13" s="43"/>
      <c r="AP13" s="43"/>
      <c r="AQ13" s="20"/>
      <c r="AR13" s="20"/>
      <c r="AS13" s="43"/>
      <c r="AT13" s="43"/>
      <c r="AU13" s="20"/>
      <c r="AV13" s="20"/>
      <c r="AW13" s="43"/>
      <c r="AX13" s="43"/>
      <c r="AY13" s="20"/>
      <c r="AZ13" s="20"/>
      <c r="BA13" s="43"/>
      <c r="BB13" s="43"/>
      <c r="BC13" s="20"/>
      <c r="BD13" s="20"/>
      <c r="BE13" s="43"/>
      <c r="BF13" s="43"/>
      <c r="BG13" s="20"/>
      <c r="BH13" s="20"/>
      <c r="BI13" s="43"/>
      <c r="BJ13" s="43"/>
      <c r="BK13" s="20"/>
      <c r="BL13" s="20"/>
      <c r="BM13" s="43"/>
      <c r="BN13" s="43"/>
      <c r="BO13" s="20"/>
      <c r="BP13" s="20"/>
      <c r="BQ13" s="43"/>
      <c r="BR13" s="43"/>
      <c r="BS13" s="20"/>
      <c r="BT13" s="20"/>
      <c r="BU13" s="43"/>
      <c r="BV13" s="43"/>
      <c r="BW13" s="20"/>
      <c r="BX13" s="20"/>
      <c r="BY13" s="20"/>
      <c r="BZ13" s="32"/>
      <c r="CA13" s="32"/>
      <c r="CB13" s="32"/>
    </row>
    <row r="16" spans="1:84" ht="30">
      <c r="A16" s="142" t="s">
        <v>93</v>
      </c>
      <c r="B16" s="24" t="s">
        <v>94</v>
      </c>
      <c r="C16" s="22">
        <v>1</v>
      </c>
      <c r="D16" s="41"/>
      <c r="E16" s="41"/>
      <c r="F16" s="36" t="s">
        <v>60</v>
      </c>
      <c r="G16" s="22">
        <v>2</v>
      </c>
      <c r="H16" s="41"/>
      <c r="I16" s="41"/>
      <c r="J16" s="36" t="s">
        <v>61</v>
      </c>
      <c r="K16" s="22">
        <v>3</v>
      </c>
      <c r="L16" s="41"/>
      <c r="M16" s="41"/>
      <c r="N16" s="36" t="s">
        <v>62</v>
      </c>
      <c r="O16" s="22">
        <v>4</v>
      </c>
      <c r="P16" s="41"/>
      <c r="Q16" s="41"/>
      <c r="R16" s="36" t="s">
        <v>63</v>
      </c>
      <c r="S16" s="22">
        <v>5</v>
      </c>
      <c r="T16" s="41"/>
      <c r="U16" s="41"/>
      <c r="V16" s="36" t="s">
        <v>64</v>
      </c>
      <c r="W16" s="22">
        <v>6</v>
      </c>
      <c r="X16" s="41"/>
      <c r="Y16" s="41"/>
      <c r="Z16" s="36" t="s">
        <v>65</v>
      </c>
      <c r="AA16" s="22">
        <v>7</v>
      </c>
      <c r="AB16" s="41"/>
      <c r="AC16" s="41"/>
      <c r="AD16" s="36" t="s">
        <v>66</v>
      </c>
      <c r="AE16" s="22">
        <v>8</v>
      </c>
      <c r="AF16" s="51"/>
      <c r="AG16" s="51"/>
      <c r="AH16" s="36"/>
      <c r="AI16" s="22">
        <v>9</v>
      </c>
      <c r="AJ16" s="48"/>
      <c r="AK16" s="48"/>
      <c r="AL16" s="37" t="s">
        <v>67</v>
      </c>
      <c r="AM16" s="9" t="s">
        <v>56</v>
      </c>
      <c r="AN16" s="24">
        <v>10</v>
      </c>
      <c r="AO16" s="53"/>
      <c r="AP16" s="53"/>
      <c r="AQ16" s="36" t="s">
        <v>68</v>
      </c>
      <c r="AR16" s="22">
        <v>11</v>
      </c>
      <c r="AS16" s="41"/>
      <c r="AT16" s="41"/>
      <c r="AU16" s="36" t="s">
        <v>69</v>
      </c>
      <c r="AV16" s="22">
        <v>12</v>
      </c>
      <c r="AW16" s="41"/>
      <c r="AX16" s="41"/>
      <c r="AY16" s="36" t="s">
        <v>70</v>
      </c>
      <c r="AZ16" s="22">
        <v>13</v>
      </c>
      <c r="BA16" s="41"/>
      <c r="BB16" s="41"/>
      <c r="BC16" s="36" t="s">
        <v>71</v>
      </c>
      <c r="BD16" s="22">
        <v>14</v>
      </c>
      <c r="BE16" s="41"/>
      <c r="BF16" s="41"/>
      <c r="BG16" s="36" t="s">
        <v>72</v>
      </c>
      <c r="BH16" s="22">
        <v>15</v>
      </c>
      <c r="BI16" s="41"/>
      <c r="BJ16" s="41"/>
      <c r="BK16" s="36" t="s">
        <v>73</v>
      </c>
      <c r="BL16" s="22">
        <v>16</v>
      </c>
      <c r="BM16" s="41"/>
      <c r="BN16" s="41"/>
      <c r="BO16" s="36" t="s">
        <v>74</v>
      </c>
      <c r="BP16" s="22">
        <v>17</v>
      </c>
      <c r="BQ16" s="41"/>
      <c r="BR16" s="41"/>
      <c r="BS16" s="36" t="s">
        <v>75</v>
      </c>
      <c r="BT16" s="22">
        <v>18</v>
      </c>
      <c r="BU16" s="48"/>
      <c r="BV16" s="48"/>
      <c r="BW16" s="37" t="s">
        <v>76</v>
      </c>
      <c r="BX16" s="23" t="s">
        <v>57</v>
      </c>
      <c r="BY16" s="12" t="s">
        <v>0</v>
      </c>
      <c r="BZ16" s="34" t="s">
        <v>77</v>
      </c>
      <c r="CA16" s="35" t="s">
        <v>1</v>
      </c>
      <c r="CB16" s="82"/>
    </row>
    <row r="17" spans="1:80">
      <c r="A17" s="143"/>
      <c r="B17" s="86" t="s">
        <v>52</v>
      </c>
      <c r="C17" s="22"/>
      <c r="D17" s="41"/>
      <c r="E17" s="41"/>
      <c r="F17" s="22"/>
      <c r="G17" s="22"/>
      <c r="H17" s="41"/>
      <c r="I17" s="41"/>
      <c r="J17" s="22"/>
      <c r="K17" s="22"/>
      <c r="L17" s="41"/>
      <c r="M17" s="41"/>
      <c r="N17" s="22"/>
      <c r="O17" s="22"/>
      <c r="P17" s="41"/>
      <c r="Q17" s="41"/>
      <c r="R17" s="22"/>
      <c r="S17" s="22"/>
      <c r="T17" s="41"/>
      <c r="U17" s="41"/>
      <c r="V17" s="22"/>
      <c r="W17" s="22"/>
      <c r="X17" s="41"/>
      <c r="Y17" s="41"/>
      <c r="Z17" s="22"/>
      <c r="AA17" s="22"/>
      <c r="AB17" s="41"/>
      <c r="AC17" s="41"/>
      <c r="AD17" s="22"/>
      <c r="AE17" s="22"/>
      <c r="AF17" s="41"/>
      <c r="AG17" s="41"/>
      <c r="AH17" s="22"/>
      <c r="AI17" s="22"/>
      <c r="AJ17" s="48"/>
      <c r="AK17" s="48"/>
      <c r="AL17" s="23"/>
      <c r="AM17" s="9">
        <f>SUM(C17:AL17)</f>
        <v>0</v>
      </c>
      <c r="AN17" s="24"/>
      <c r="AO17" s="53"/>
      <c r="AP17" s="53"/>
      <c r="AQ17" s="22"/>
      <c r="AR17" s="22"/>
      <c r="AS17" s="41"/>
      <c r="AT17" s="41"/>
      <c r="AU17" s="22"/>
      <c r="AV17" s="22"/>
      <c r="AW17" s="41"/>
      <c r="AX17" s="41"/>
      <c r="AY17" s="22"/>
      <c r="AZ17" s="22"/>
      <c r="BA17" s="41"/>
      <c r="BB17" s="41"/>
      <c r="BC17" s="22"/>
      <c r="BD17" s="22"/>
      <c r="BE17" s="41"/>
      <c r="BF17" s="41"/>
      <c r="BG17" s="22"/>
      <c r="BH17" s="22"/>
      <c r="BI17" s="41"/>
      <c r="BJ17" s="41"/>
      <c r="BK17" s="22"/>
      <c r="BL17" s="22"/>
      <c r="BM17" s="41"/>
      <c r="BN17" s="41"/>
      <c r="BO17" s="22"/>
      <c r="BP17" s="22"/>
      <c r="BQ17" s="41"/>
      <c r="BR17" s="41"/>
      <c r="BS17" s="22"/>
      <c r="BT17" s="22"/>
      <c r="BU17" s="48"/>
      <c r="BV17" s="48"/>
      <c r="BW17" s="23"/>
      <c r="BX17" s="10">
        <f>SUM(AN17:BW17)</f>
        <v>0</v>
      </c>
      <c r="BY17" s="10">
        <f>SUM(AM17+BX17)</f>
        <v>0</v>
      </c>
      <c r="BZ17" s="25" t="s">
        <v>81</v>
      </c>
      <c r="CA17" s="33"/>
      <c r="CB17" s="82"/>
    </row>
    <row r="18" spans="1:80">
      <c r="A18" s="143"/>
      <c r="B18" s="87" t="s">
        <v>83</v>
      </c>
      <c r="C18" s="22"/>
      <c r="D18" s="41"/>
      <c r="E18" s="41"/>
      <c r="F18" s="22"/>
      <c r="G18" s="22"/>
      <c r="H18" s="41"/>
      <c r="I18" s="41"/>
      <c r="J18" s="22"/>
      <c r="K18" s="22"/>
      <c r="L18" s="41"/>
      <c r="M18" s="41"/>
      <c r="N18" s="22"/>
      <c r="O18" s="22"/>
      <c r="P18" s="41"/>
      <c r="Q18" s="41"/>
      <c r="R18" s="22"/>
      <c r="S18" s="22"/>
      <c r="T18" s="41"/>
      <c r="U18" s="41"/>
      <c r="V18" s="22"/>
      <c r="W18" s="22"/>
      <c r="X18" s="41"/>
      <c r="Y18" s="41"/>
      <c r="Z18" s="22"/>
      <c r="AA18" s="22"/>
      <c r="AB18" s="41"/>
      <c r="AC18" s="41"/>
      <c r="AD18" s="22"/>
      <c r="AE18" s="22"/>
      <c r="AF18" s="41"/>
      <c r="AG18" s="41"/>
      <c r="AH18" s="22"/>
      <c r="AI18" s="22"/>
      <c r="AJ18" s="48"/>
      <c r="AK18" s="48"/>
      <c r="AL18" s="23"/>
      <c r="AM18" s="9" t="s">
        <v>84</v>
      </c>
      <c r="AN18" s="24"/>
      <c r="AO18" s="53"/>
      <c r="AP18" s="53"/>
      <c r="AQ18" s="22"/>
      <c r="AR18" s="22"/>
      <c r="AS18" s="41"/>
      <c r="AT18" s="41"/>
      <c r="AU18" s="22"/>
      <c r="AV18" s="22"/>
      <c r="AW18" s="41"/>
      <c r="AX18" s="41"/>
      <c r="AY18" s="22"/>
      <c r="AZ18" s="22"/>
      <c r="BA18" s="41"/>
      <c r="BB18" s="41"/>
      <c r="BC18" s="22"/>
      <c r="BD18" s="22"/>
      <c r="BE18" s="41"/>
      <c r="BF18" s="41"/>
      <c r="BG18" s="22"/>
      <c r="BH18" s="22"/>
      <c r="BI18" s="41"/>
      <c r="BJ18" s="41"/>
      <c r="BK18" s="22"/>
      <c r="BL18" s="22"/>
      <c r="BM18" s="41"/>
      <c r="BN18" s="41"/>
      <c r="BO18" s="22"/>
      <c r="BP18" s="22"/>
      <c r="BQ18" s="41"/>
      <c r="BR18" s="41"/>
      <c r="BS18" s="22"/>
      <c r="BT18" s="22"/>
      <c r="BU18" s="48"/>
      <c r="BV18" s="48"/>
      <c r="BW18" s="23"/>
      <c r="BX18" s="11" t="s">
        <v>84</v>
      </c>
      <c r="BY18" s="11" t="s">
        <v>84</v>
      </c>
      <c r="BZ18" s="26"/>
      <c r="CA18" s="80" t="s">
        <v>1</v>
      </c>
      <c r="CB18" s="80" t="s">
        <v>85</v>
      </c>
    </row>
    <row r="19" spans="1:80">
      <c r="A19" s="143"/>
      <c r="B19" s="24" t="s">
        <v>36</v>
      </c>
      <c r="C19" s="5"/>
      <c r="D19" s="44"/>
      <c r="E19" s="44"/>
      <c r="F19" s="5"/>
      <c r="G19" s="6"/>
      <c r="H19" s="44"/>
      <c r="I19" s="44"/>
      <c r="J19" s="6"/>
      <c r="K19" s="5"/>
      <c r="L19" s="44"/>
      <c r="M19" s="44"/>
      <c r="N19" s="5"/>
      <c r="O19" s="6"/>
      <c r="P19" s="44"/>
      <c r="Q19" s="44"/>
      <c r="R19" s="6"/>
      <c r="S19" s="5"/>
      <c r="T19" s="44"/>
      <c r="U19" s="44"/>
      <c r="V19" s="5"/>
      <c r="W19" s="6"/>
      <c r="X19" s="44"/>
      <c r="Y19" s="44"/>
      <c r="Z19" s="6"/>
      <c r="AA19" s="5"/>
      <c r="AB19" s="44"/>
      <c r="AC19" s="44"/>
      <c r="AD19" s="6"/>
      <c r="AE19" s="6"/>
      <c r="AF19" s="42"/>
      <c r="AG19" s="42"/>
      <c r="AH19" s="6"/>
      <c r="AI19" s="5"/>
      <c r="AJ19" s="49"/>
      <c r="AK19" s="49"/>
      <c r="AL19" s="16"/>
      <c r="AM19" s="9">
        <f t="shared" ref="AM19:AM27" si="4">SUM(F19+J19+N19+R19+V19+Z19+AB19+AD19+AL19)</f>
        <v>0</v>
      </c>
      <c r="AN19" s="7"/>
      <c r="AO19" s="54"/>
      <c r="AP19" s="54"/>
      <c r="AQ19" s="6"/>
      <c r="AR19" s="5"/>
      <c r="AS19" s="42"/>
      <c r="AT19" s="42"/>
      <c r="AU19" s="5"/>
      <c r="AV19" s="6"/>
      <c r="AW19" s="42"/>
      <c r="AX19" s="42"/>
      <c r="AY19" s="6"/>
      <c r="AZ19" s="5"/>
      <c r="BA19" s="42"/>
      <c r="BB19" s="42"/>
      <c r="BC19" s="5"/>
      <c r="BD19" s="6"/>
      <c r="BE19" s="42"/>
      <c r="BF19" s="42"/>
      <c r="BG19" s="6"/>
      <c r="BH19" s="5"/>
      <c r="BI19" s="42"/>
      <c r="BJ19" s="42"/>
      <c r="BK19" s="5"/>
      <c r="BL19" s="6"/>
      <c r="BM19" s="42"/>
      <c r="BN19" s="42"/>
      <c r="BO19" s="6"/>
      <c r="BP19" s="5"/>
      <c r="BQ19" s="42"/>
      <c r="BR19" s="42"/>
      <c r="BS19" s="5"/>
      <c r="BT19" s="6"/>
      <c r="BU19" s="56"/>
      <c r="BV19" s="56"/>
      <c r="BW19" s="17"/>
      <c r="BX19" s="12">
        <f>SUM(AQ19+AU19+AY19+BC19+BG19+BK19+BO19+BS19+BW19)</f>
        <v>0</v>
      </c>
      <c r="BY19" s="12">
        <f>SUM(AM19+BX19)</f>
        <v>0</v>
      </c>
      <c r="BZ19" s="27"/>
      <c r="CA19" s="81">
        <f>RANK(BY19,$BY$19:$BY$27)</f>
        <v>1</v>
      </c>
      <c r="CB19" s="83"/>
    </row>
    <row r="20" spans="1:80">
      <c r="A20" s="143"/>
      <c r="B20" s="24" t="s">
        <v>88</v>
      </c>
      <c r="C20" s="5"/>
      <c r="D20" s="44"/>
      <c r="E20" s="44"/>
      <c r="F20" s="5"/>
      <c r="G20" s="6"/>
      <c r="H20" s="44"/>
      <c r="I20" s="44"/>
      <c r="J20" s="6"/>
      <c r="K20" s="5"/>
      <c r="L20" s="44"/>
      <c r="M20" s="44"/>
      <c r="N20" s="5"/>
      <c r="O20" s="6"/>
      <c r="P20" s="44"/>
      <c r="Q20" s="44"/>
      <c r="R20" s="6"/>
      <c r="S20" s="5"/>
      <c r="T20" s="44"/>
      <c r="U20" s="44"/>
      <c r="V20" s="5"/>
      <c r="W20" s="6"/>
      <c r="X20" s="44"/>
      <c r="Y20" s="44"/>
      <c r="Z20" s="6"/>
      <c r="AA20" s="5"/>
      <c r="AB20" s="44"/>
      <c r="AC20" s="44"/>
      <c r="AD20" s="6"/>
      <c r="AE20" s="6"/>
      <c r="AF20" s="42"/>
      <c r="AG20" s="42"/>
      <c r="AH20" s="6"/>
      <c r="AI20" s="5"/>
      <c r="AJ20" s="49"/>
      <c r="AK20" s="49"/>
      <c r="AL20" s="16"/>
      <c r="AM20" s="9">
        <f t="shared" si="4"/>
        <v>0</v>
      </c>
      <c r="AN20" s="7"/>
      <c r="AO20" s="54"/>
      <c r="AP20" s="54"/>
      <c r="AQ20" s="6"/>
      <c r="AR20" s="5"/>
      <c r="AS20" s="42"/>
      <c r="AT20" s="42"/>
      <c r="AU20" s="5"/>
      <c r="AV20" s="6"/>
      <c r="AW20" s="42"/>
      <c r="AX20" s="42"/>
      <c r="AY20" s="6"/>
      <c r="AZ20" s="5"/>
      <c r="BA20" s="42"/>
      <c r="BB20" s="42"/>
      <c r="BC20" s="5"/>
      <c r="BD20" s="6"/>
      <c r="BE20" s="42"/>
      <c r="BF20" s="42"/>
      <c r="BG20" s="6"/>
      <c r="BH20" s="5"/>
      <c r="BI20" s="42"/>
      <c r="BJ20" s="42"/>
      <c r="BK20" s="5"/>
      <c r="BL20" s="6"/>
      <c r="BM20" s="42"/>
      <c r="BN20" s="42"/>
      <c r="BO20" s="6"/>
      <c r="BP20" s="5"/>
      <c r="BQ20" s="42"/>
      <c r="BR20" s="42"/>
      <c r="BS20" s="5"/>
      <c r="BT20" s="6"/>
      <c r="BU20" s="56"/>
      <c r="BV20" s="56"/>
      <c r="BW20" s="17"/>
      <c r="BX20" s="12">
        <f t="shared" ref="BX20:BX27" si="5">SUM(AQ20+AU20+AY20+BC20+BG20+BK20+BO20+BS20+BW20)</f>
        <v>0</v>
      </c>
      <c r="BY20" s="12">
        <f t="shared" ref="BY20:BY27" si="6">SUM(AM20+BX20)</f>
        <v>0</v>
      </c>
      <c r="BZ20" s="28"/>
      <c r="CA20" s="81">
        <f t="shared" ref="CA20:CA27" si="7">RANK(BY20,$BY$19:$BY$27)</f>
        <v>1</v>
      </c>
      <c r="CB20" s="83"/>
    </row>
    <row r="21" spans="1:80">
      <c r="A21" s="143"/>
      <c r="B21" s="24" t="s">
        <v>89</v>
      </c>
      <c r="C21" s="5"/>
      <c r="D21" s="44"/>
      <c r="E21" s="44"/>
      <c r="F21" s="5"/>
      <c r="G21" s="6"/>
      <c r="H21" s="44"/>
      <c r="I21" s="44"/>
      <c r="J21" s="6"/>
      <c r="K21" s="5"/>
      <c r="L21" s="44"/>
      <c r="M21" s="44"/>
      <c r="N21" s="5"/>
      <c r="O21" s="6"/>
      <c r="P21" s="44"/>
      <c r="Q21" s="44"/>
      <c r="R21" s="6"/>
      <c r="S21" s="5"/>
      <c r="T21" s="44"/>
      <c r="U21" s="44"/>
      <c r="V21" s="5"/>
      <c r="W21" s="6"/>
      <c r="X21" s="44"/>
      <c r="Y21" s="44"/>
      <c r="Z21" s="6"/>
      <c r="AA21" s="5"/>
      <c r="AB21" s="44"/>
      <c r="AC21" s="44"/>
      <c r="AD21" s="6"/>
      <c r="AE21" s="6"/>
      <c r="AF21" s="42"/>
      <c r="AG21" s="42"/>
      <c r="AH21" s="6"/>
      <c r="AI21" s="5"/>
      <c r="AJ21" s="49"/>
      <c r="AK21" s="49"/>
      <c r="AL21" s="16"/>
      <c r="AM21" s="9">
        <f t="shared" si="4"/>
        <v>0</v>
      </c>
      <c r="AN21" s="7"/>
      <c r="AO21" s="54"/>
      <c r="AP21" s="54"/>
      <c r="AQ21" s="6"/>
      <c r="AR21" s="5"/>
      <c r="AS21" s="42"/>
      <c r="AT21" s="42"/>
      <c r="AU21" s="5"/>
      <c r="AV21" s="6"/>
      <c r="AW21" s="42"/>
      <c r="AX21" s="42"/>
      <c r="AY21" s="6"/>
      <c r="AZ21" s="5"/>
      <c r="BA21" s="42"/>
      <c r="BB21" s="42"/>
      <c r="BC21" s="5"/>
      <c r="BD21" s="6"/>
      <c r="BE21" s="42"/>
      <c r="BF21" s="42"/>
      <c r="BG21" s="6"/>
      <c r="BH21" s="5"/>
      <c r="BI21" s="42"/>
      <c r="BJ21" s="42"/>
      <c r="BK21" s="5"/>
      <c r="BL21" s="6"/>
      <c r="BM21" s="42"/>
      <c r="BN21" s="42"/>
      <c r="BO21" s="6"/>
      <c r="BP21" s="5"/>
      <c r="BQ21" s="42"/>
      <c r="BR21" s="42"/>
      <c r="BS21" s="5"/>
      <c r="BT21" s="6"/>
      <c r="BU21" s="56"/>
      <c r="BV21" s="56"/>
      <c r="BW21" s="17"/>
      <c r="BX21" s="12">
        <f t="shared" si="5"/>
        <v>0</v>
      </c>
      <c r="BY21" s="12">
        <f t="shared" si="6"/>
        <v>0</v>
      </c>
      <c r="BZ21" s="28"/>
      <c r="CA21" s="81">
        <f t="shared" si="7"/>
        <v>1</v>
      </c>
      <c r="CB21" s="83"/>
    </row>
    <row r="22" spans="1:80">
      <c r="A22" s="143"/>
      <c r="B22" s="24" t="s">
        <v>16</v>
      </c>
      <c r="C22" s="5"/>
      <c r="D22" s="44"/>
      <c r="E22" s="44"/>
      <c r="F22" s="5"/>
      <c r="G22" s="6"/>
      <c r="H22" s="44"/>
      <c r="I22" s="44"/>
      <c r="J22" s="6"/>
      <c r="K22" s="5"/>
      <c r="L22" s="44"/>
      <c r="M22" s="44"/>
      <c r="N22" s="5"/>
      <c r="O22" s="6"/>
      <c r="P22" s="44"/>
      <c r="Q22" s="44"/>
      <c r="R22" s="6"/>
      <c r="S22" s="5"/>
      <c r="T22" s="44"/>
      <c r="U22" s="44"/>
      <c r="V22" s="5"/>
      <c r="W22" s="6"/>
      <c r="X22" s="44"/>
      <c r="Y22" s="44"/>
      <c r="Z22" s="6"/>
      <c r="AA22" s="5"/>
      <c r="AB22" s="44"/>
      <c r="AC22" s="44"/>
      <c r="AD22" s="6"/>
      <c r="AE22" s="6"/>
      <c r="AF22" s="42"/>
      <c r="AG22" s="42"/>
      <c r="AH22" s="6"/>
      <c r="AI22" s="5"/>
      <c r="AJ22" s="49"/>
      <c r="AK22" s="49"/>
      <c r="AL22" s="16"/>
      <c r="AM22" s="9">
        <f t="shared" si="4"/>
        <v>0</v>
      </c>
      <c r="AN22" s="7"/>
      <c r="AO22" s="54"/>
      <c r="AP22" s="54"/>
      <c r="AQ22" s="6"/>
      <c r="AR22" s="5"/>
      <c r="AS22" s="42"/>
      <c r="AT22" s="42"/>
      <c r="AU22" s="5"/>
      <c r="AV22" s="6"/>
      <c r="AW22" s="42"/>
      <c r="AX22" s="42"/>
      <c r="AY22" s="6"/>
      <c r="AZ22" s="5"/>
      <c r="BA22" s="42"/>
      <c r="BB22" s="42"/>
      <c r="BC22" s="5"/>
      <c r="BD22" s="6"/>
      <c r="BE22" s="42"/>
      <c r="BF22" s="42"/>
      <c r="BG22" s="6"/>
      <c r="BH22" s="5"/>
      <c r="BI22" s="42"/>
      <c r="BJ22" s="42"/>
      <c r="BK22" s="5"/>
      <c r="BL22" s="6"/>
      <c r="BM22" s="42"/>
      <c r="BN22" s="42"/>
      <c r="BO22" s="6"/>
      <c r="BP22" s="5"/>
      <c r="BQ22" s="42"/>
      <c r="BR22" s="42"/>
      <c r="BS22" s="5"/>
      <c r="BT22" s="6"/>
      <c r="BU22" s="56"/>
      <c r="BV22" s="56"/>
      <c r="BW22" s="17"/>
      <c r="BX22" s="12">
        <f t="shared" si="5"/>
        <v>0</v>
      </c>
      <c r="BY22" s="12">
        <f t="shared" si="6"/>
        <v>0</v>
      </c>
      <c r="BZ22" s="28"/>
      <c r="CA22" s="81">
        <f t="shared" si="7"/>
        <v>1</v>
      </c>
      <c r="CB22" s="83"/>
    </row>
    <row r="23" spans="1:80">
      <c r="A23" s="143"/>
      <c r="B23" s="24" t="s">
        <v>18</v>
      </c>
      <c r="C23" s="5"/>
      <c r="D23" s="44"/>
      <c r="E23" s="44"/>
      <c r="F23" s="5"/>
      <c r="G23" s="6"/>
      <c r="H23" s="44"/>
      <c r="I23" s="44"/>
      <c r="J23" s="6"/>
      <c r="K23" s="5"/>
      <c r="L23" s="44"/>
      <c r="M23" s="44"/>
      <c r="N23" s="5"/>
      <c r="O23" s="6"/>
      <c r="P23" s="44"/>
      <c r="Q23" s="44"/>
      <c r="R23" s="6"/>
      <c r="S23" s="5"/>
      <c r="T23" s="44"/>
      <c r="U23" s="44"/>
      <c r="V23" s="5"/>
      <c r="W23" s="6"/>
      <c r="X23" s="44"/>
      <c r="Y23" s="44"/>
      <c r="Z23" s="6"/>
      <c r="AA23" s="5"/>
      <c r="AB23" s="44"/>
      <c r="AC23" s="44"/>
      <c r="AD23" s="6"/>
      <c r="AE23" s="6"/>
      <c r="AF23" s="42"/>
      <c r="AG23" s="42"/>
      <c r="AH23" s="6"/>
      <c r="AI23" s="5"/>
      <c r="AJ23" s="49"/>
      <c r="AK23" s="49"/>
      <c r="AL23" s="16"/>
      <c r="AM23" s="9">
        <f t="shared" si="4"/>
        <v>0</v>
      </c>
      <c r="AN23" s="7"/>
      <c r="AO23" s="54"/>
      <c r="AP23" s="54"/>
      <c r="AQ23" s="6"/>
      <c r="AR23" s="5"/>
      <c r="AS23" s="42"/>
      <c r="AT23" s="42"/>
      <c r="AU23" s="5"/>
      <c r="AV23" s="6"/>
      <c r="AW23" s="42"/>
      <c r="AX23" s="42"/>
      <c r="AY23" s="6"/>
      <c r="AZ23" s="5"/>
      <c r="BA23" s="42"/>
      <c r="BB23" s="42"/>
      <c r="BC23" s="5"/>
      <c r="BD23" s="6"/>
      <c r="BE23" s="42"/>
      <c r="BF23" s="42"/>
      <c r="BG23" s="6"/>
      <c r="BH23" s="5"/>
      <c r="BI23" s="42"/>
      <c r="BJ23" s="42"/>
      <c r="BK23" s="5"/>
      <c r="BL23" s="6"/>
      <c r="BM23" s="42"/>
      <c r="BN23" s="42"/>
      <c r="BO23" s="6"/>
      <c r="BP23" s="5"/>
      <c r="BQ23" s="42"/>
      <c r="BR23" s="42"/>
      <c r="BS23" s="5"/>
      <c r="BT23" s="6"/>
      <c r="BU23" s="56"/>
      <c r="BV23" s="56"/>
      <c r="BW23" s="17"/>
      <c r="BX23" s="12">
        <f t="shared" si="5"/>
        <v>0</v>
      </c>
      <c r="BY23" s="12">
        <f t="shared" si="6"/>
        <v>0</v>
      </c>
      <c r="BZ23" s="28"/>
      <c r="CA23" s="81">
        <f t="shared" si="7"/>
        <v>1</v>
      </c>
      <c r="CB23" s="83"/>
    </row>
    <row r="24" spans="1:80">
      <c r="A24" s="143"/>
      <c r="B24" s="24" t="s">
        <v>40</v>
      </c>
      <c r="C24" s="5"/>
      <c r="D24" s="44"/>
      <c r="E24" s="44"/>
      <c r="F24" s="5"/>
      <c r="G24" s="6"/>
      <c r="H24" s="44"/>
      <c r="I24" s="44"/>
      <c r="J24" s="6"/>
      <c r="K24" s="5"/>
      <c r="L24" s="44"/>
      <c r="M24" s="44"/>
      <c r="N24" s="5"/>
      <c r="O24" s="6"/>
      <c r="P24" s="44"/>
      <c r="Q24" s="44"/>
      <c r="R24" s="6"/>
      <c r="S24" s="5"/>
      <c r="T24" s="44"/>
      <c r="U24" s="44"/>
      <c r="V24" s="5"/>
      <c r="W24" s="6"/>
      <c r="X24" s="44"/>
      <c r="Y24" s="44"/>
      <c r="Z24" s="6"/>
      <c r="AA24" s="5"/>
      <c r="AB24" s="44"/>
      <c r="AC24" s="44"/>
      <c r="AD24" s="6"/>
      <c r="AE24" s="6"/>
      <c r="AF24" s="42"/>
      <c r="AG24" s="42"/>
      <c r="AH24" s="6"/>
      <c r="AI24" s="5"/>
      <c r="AJ24" s="49"/>
      <c r="AK24" s="49"/>
      <c r="AL24" s="16"/>
      <c r="AM24" s="9">
        <f t="shared" si="4"/>
        <v>0</v>
      </c>
      <c r="AN24" s="7"/>
      <c r="AO24" s="54"/>
      <c r="AP24" s="54"/>
      <c r="AQ24" s="6"/>
      <c r="AR24" s="5"/>
      <c r="AS24" s="42"/>
      <c r="AT24" s="42"/>
      <c r="AU24" s="5"/>
      <c r="AV24" s="6"/>
      <c r="AW24" s="42"/>
      <c r="AX24" s="42"/>
      <c r="AY24" s="6"/>
      <c r="AZ24" s="5"/>
      <c r="BA24" s="42"/>
      <c r="BB24" s="42"/>
      <c r="BC24" s="5"/>
      <c r="BD24" s="6"/>
      <c r="BE24" s="42"/>
      <c r="BF24" s="42"/>
      <c r="BG24" s="6"/>
      <c r="BH24" s="5"/>
      <c r="BI24" s="42"/>
      <c r="BJ24" s="42"/>
      <c r="BK24" s="5"/>
      <c r="BL24" s="6"/>
      <c r="BM24" s="42"/>
      <c r="BN24" s="42"/>
      <c r="BO24" s="6"/>
      <c r="BP24" s="5"/>
      <c r="BQ24" s="42"/>
      <c r="BR24" s="42"/>
      <c r="BS24" s="5"/>
      <c r="BT24" s="6"/>
      <c r="BU24" s="56"/>
      <c r="BV24" s="56"/>
      <c r="BW24" s="17"/>
      <c r="BX24" s="12">
        <f t="shared" si="5"/>
        <v>0</v>
      </c>
      <c r="BY24" s="12">
        <f t="shared" si="6"/>
        <v>0</v>
      </c>
      <c r="BZ24" s="28"/>
      <c r="CA24" s="81">
        <f t="shared" si="7"/>
        <v>1</v>
      </c>
      <c r="CB24" s="83"/>
    </row>
    <row r="25" spans="1:80">
      <c r="A25" s="143"/>
      <c r="B25" s="24" t="s">
        <v>34</v>
      </c>
      <c r="C25" s="5"/>
      <c r="D25" s="44"/>
      <c r="E25" s="44"/>
      <c r="F25" s="5"/>
      <c r="G25" s="6"/>
      <c r="H25" s="44"/>
      <c r="I25" s="44"/>
      <c r="J25" s="6"/>
      <c r="K25" s="5"/>
      <c r="L25" s="44"/>
      <c r="M25" s="44"/>
      <c r="N25" s="5"/>
      <c r="O25" s="6"/>
      <c r="P25" s="44"/>
      <c r="Q25" s="44"/>
      <c r="R25" s="6"/>
      <c r="S25" s="5"/>
      <c r="T25" s="44"/>
      <c r="U25" s="44"/>
      <c r="V25" s="5"/>
      <c r="W25" s="6"/>
      <c r="X25" s="44"/>
      <c r="Y25" s="44"/>
      <c r="Z25" s="6"/>
      <c r="AA25" s="5"/>
      <c r="AB25" s="44"/>
      <c r="AC25" s="44"/>
      <c r="AD25" s="6"/>
      <c r="AE25" s="6"/>
      <c r="AF25" s="42"/>
      <c r="AG25" s="42"/>
      <c r="AH25" s="6"/>
      <c r="AI25" s="5"/>
      <c r="AJ25" s="49"/>
      <c r="AK25" s="49"/>
      <c r="AL25" s="16"/>
      <c r="AM25" s="9">
        <f t="shared" si="4"/>
        <v>0</v>
      </c>
      <c r="AN25" s="7"/>
      <c r="AO25" s="54"/>
      <c r="AP25" s="54"/>
      <c r="AQ25" s="6"/>
      <c r="AR25" s="5"/>
      <c r="AS25" s="42"/>
      <c r="AT25" s="42"/>
      <c r="AU25" s="5"/>
      <c r="AV25" s="6"/>
      <c r="AW25" s="42"/>
      <c r="AX25" s="42"/>
      <c r="AY25" s="6"/>
      <c r="AZ25" s="5"/>
      <c r="BA25" s="42"/>
      <c r="BB25" s="42"/>
      <c r="BC25" s="5"/>
      <c r="BD25" s="6"/>
      <c r="BE25" s="42"/>
      <c r="BF25" s="42"/>
      <c r="BG25" s="6"/>
      <c r="BH25" s="5"/>
      <c r="BI25" s="42"/>
      <c r="BJ25" s="42"/>
      <c r="BK25" s="5"/>
      <c r="BL25" s="6"/>
      <c r="BM25" s="42"/>
      <c r="BN25" s="42"/>
      <c r="BO25" s="6"/>
      <c r="BP25" s="5"/>
      <c r="BQ25" s="42"/>
      <c r="BR25" s="42"/>
      <c r="BS25" s="5"/>
      <c r="BT25" s="6"/>
      <c r="BU25" s="56"/>
      <c r="BV25" s="56"/>
      <c r="BW25" s="17"/>
      <c r="BX25" s="12">
        <f t="shared" si="5"/>
        <v>0</v>
      </c>
      <c r="BY25" s="12">
        <f t="shared" si="6"/>
        <v>0</v>
      </c>
      <c r="BZ25" s="28"/>
      <c r="CA25" s="81">
        <f t="shared" si="7"/>
        <v>1</v>
      </c>
      <c r="CB25" s="83"/>
    </row>
    <row r="26" spans="1:80">
      <c r="A26" s="143"/>
      <c r="B26" s="24" t="s">
        <v>92</v>
      </c>
      <c r="C26" s="5"/>
      <c r="D26" s="44"/>
      <c r="E26" s="44"/>
      <c r="F26" s="5"/>
      <c r="G26" s="6"/>
      <c r="H26" s="44"/>
      <c r="I26" s="44"/>
      <c r="J26" s="6"/>
      <c r="K26" s="5"/>
      <c r="L26" s="44"/>
      <c r="M26" s="44"/>
      <c r="N26" s="5"/>
      <c r="O26" s="6"/>
      <c r="P26" s="44"/>
      <c r="Q26" s="44"/>
      <c r="R26" s="6"/>
      <c r="S26" s="5"/>
      <c r="T26" s="44"/>
      <c r="U26" s="44"/>
      <c r="V26" s="5"/>
      <c r="W26" s="6"/>
      <c r="X26" s="44"/>
      <c r="Y26" s="44"/>
      <c r="Z26" s="6"/>
      <c r="AA26" s="5"/>
      <c r="AB26" s="44"/>
      <c r="AC26" s="44"/>
      <c r="AD26" s="6"/>
      <c r="AE26" s="6"/>
      <c r="AF26" s="42"/>
      <c r="AG26" s="42"/>
      <c r="AH26" s="6"/>
      <c r="AI26" s="5"/>
      <c r="AJ26" s="49"/>
      <c r="AK26" s="49"/>
      <c r="AL26" s="16"/>
      <c r="AM26" s="9">
        <f t="shared" si="4"/>
        <v>0</v>
      </c>
      <c r="AN26" s="7"/>
      <c r="AO26" s="54"/>
      <c r="AP26" s="54"/>
      <c r="AQ26" s="6"/>
      <c r="AR26" s="5"/>
      <c r="AS26" s="42"/>
      <c r="AT26" s="42"/>
      <c r="AU26" s="5"/>
      <c r="AV26" s="6"/>
      <c r="AW26" s="42"/>
      <c r="AX26" s="42"/>
      <c r="AY26" s="6"/>
      <c r="AZ26" s="5"/>
      <c r="BA26" s="42"/>
      <c r="BB26" s="42"/>
      <c r="BC26" s="5"/>
      <c r="BD26" s="6"/>
      <c r="BE26" s="42"/>
      <c r="BF26" s="42"/>
      <c r="BG26" s="6"/>
      <c r="BH26" s="5"/>
      <c r="BI26" s="42"/>
      <c r="BJ26" s="42"/>
      <c r="BK26" s="5"/>
      <c r="BL26" s="6"/>
      <c r="BM26" s="42"/>
      <c r="BN26" s="42"/>
      <c r="BO26" s="6"/>
      <c r="BP26" s="5"/>
      <c r="BQ26" s="42"/>
      <c r="BR26" s="42"/>
      <c r="BS26" s="5"/>
      <c r="BT26" s="6"/>
      <c r="BU26" s="56"/>
      <c r="BV26" s="56"/>
      <c r="BW26" s="17"/>
      <c r="BX26" s="12">
        <f t="shared" si="5"/>
        <v>0</v>
      </c>
      <c r="BY26" s="12">
        <f t="shared" si="6"/>
        <v>0</v>
      </c>
      <c r="BZ26" s="28"/>
      <c r="CA26" s="81">
        <f t="shared" si="7"/>
        <v>1</v>
      </c>
      <c r="CB26" s="83"/>
    </row>
    <row r="27" spans="1:80">
      <c r="A27" s="143"/>
      <c r="B27" s="86" t="s">
        <v>14</v>
      </c>
      <c r="C27" s="3"/>
      <c r="D27" s="44"/>
      <c r="E27" s="44"/>
      <c r="F27" s="5"/>
      <c r="G27" s="4"/>
      <c r="H27" s="46"/>
      <c r="I27" s="46"/>
      <c r="J27" s="4"/>
      <c r="K27" s="3"/>
      <c r="L27" s="46"/>
      <c r="M27" s="46"/>
      <c r="N27" s="3"/>
      <c r="O27" s="4"/>
      <c r="P27" s="46"/>
      <c r="Q27" s="46"/>
      <c r="R27" s="4"/>
      <c r="S27" s="3"/>
      <c r="T27" s="46"/>
      <c r="U27" s="46"/>
      <c r="V27" s="3"/>
      <c r="W27" s="4"/>
      <c r="X27" s="46"/>
      <c r="Y27" s="46"/>
      <c r="Z27" s="4"/>
      <c r="AA27" s="3"/>
      <c r="AB27" s="46"/>
      <c r="AC27" s="46"/>
      <c r="AD27" s="4"/>
      <c r="AE27" s="4"/>
      <c r="AF27" s="47"/>
      <c r="AG27" s="47"/>
      <c r="AH27" s="4"/>
      <c r="AI27" s="3"/>
      <c r="AJ27" s="50"/>
      <c r="AK27" s="50"/>
      <c r="AL27" s="18"/>
      <c r="AM27" s="9">
        <f t="shared" si="4"/>
        <v>0</v>
      </c>
      <c r="AN27" s="8"/>
      <c r="AO27" s="55"/>
      <c r="AP27" s="55"/>
      <c r="AQ27" s="4"/>
      <c r="AR27" s="3"/>
      <c r="AS27" s="47"/>
      <c r="AT27" s="47"/>
      <c r="AU27" s="3"/>
      <c r="AV27" s="4"/>
      <c r="AW27" s="47"/>
      <c r="AX27" s="47"/>
      <c r="AY27" s="4"/>
      <c r="AZ27" s="3"/>
      <c r="BA27" s="47"/>
      <c r="BB27" s="47"/>
      <c r="BC27" s="3"/>
      <c r="BD27" s="4"/>
      <c r="BE27" s="47"/>
      <c r="BF27" s="47"/>
      <c r="BG27" s="4"/>
      <c r="BH27" s="3"/>
      <c r="BI27" s="47"/>
      <c r="BJ27" s="47"/>
      <c r="BK27" s="3"/>
      <c r="BL27" s="4"/>
      <c r="BM27" s="47"/>
      <c r="BN27" s="47"/>
      <c r="BO27" s="4"/>
      <c r="BP27" s="3"/>
      <c r="BQ27" s="47"/>
      <c r="BR27" s="47"/>
      <c r="BS27" s="3"/>
      <c r="BT27" s="4"/>
      <c r="BU27" s="57"/>
      <c r="BV27" s="57"/>
      <c r="BW27" s="19"/>
      <c r="BX27" s="12">
        <f t="shared" si="5"/>
        <v>0</v>
      </c>
      <c r="BY27" s="12">
        <f t="shared" si="6"/>
        <v>0</v>
      </c>
      <c r="BZ27" s="28"/>
      <c r="CA27" s="81">
        <f t="shared" si="7"/>
        <v>1</v>
      </c>
      <c r="CB27" s="83"/>
    </row>
    <row r="28" spans="1:80">
      <c r="A28" s="143"/>
      <c r="B28" s="20"/>
      <c r="C28" s="20"/>
      <c r="D28" s="45"/>
      <c r="E28" s="45"/>
      <c r="F28" s="20"/>
      <c r="G28" s="20"/>
      <c r="H28" s="45"/>
      <c r="I28" s="45"/>
      <c r="J28" s="20"/>
      <c r="K28" s="20"/>
      <c r="L28" s="45"/>
      <c r="M28" s="45"/>
      <c r="N28" s="20"/>
      <c r="O28" s="20"/>
      <c r="P28" s="45"/>
      <c r="Q28" s="45"/>
      <c r="R28" s="20"/>
      <c r="S28" s="20"/>
      <c r="T28" s="45"/>
      <c r="U28" s="45"/>
      <c r="V28" s="20"/>
      <c r="W28" s="20"/>
      <c r="X28" s="45"/>
      <c r="Y28" s="45"/>
      <c r="Z28" s="20"/>
      <c r="AA28" s="20"/>
      <c r="AB28" s="45"/>
      <c r="AC28" s="45"/>
      <c r="AD28" s="20"/>
      <c r="AE28" s="20"/>
      <c r="AF28" s="43"/>
      <c r="AG28" s="43"/>
      <c r="AH28" s="20"/>
      <c r="AI28" s="20"/>
      <c r="AJ28" s="45"/>
      <c r="AK28" s="45"/>
      <c r="AL28" s="20"/>
      <c r="AM28" s="20"/>
      <c r="AN28" s="20"/>
      <c r="AO28" s="43"/>
      <c r="AP28" s="43"/>
      <c r="AQ28" s="20"/>
      <c r="AR28" s="20"/>
      <c r="AS28" s="43"/>
      <c r="AT28" s="43"/>
      <c r="AU28" s="20"/>
      <c r="AV28" s="20"/>
      <c r="AW28" s="43"/>
      <c r="AX28" s="43"/>
      <c r="AY28" s="20"/>
      <c r="AZ28" s="20"/>
      <c r="BA28" s="43"/>
      <c r="BB28" s="43"/>
      <c r="BC28" s="20"/>
      <c r="BD28" s="20"/>
      <c r="BE28" s="43"/>
      <c r="BF28" s="43"/>
      <c r="BG28" s="20"/>
      <c r="BH28" s="20"/>
      <c r="BI28" s="43"/>
      <c r="BJ28" s="43"/>
      <c r="BK28" s="20"/>
      <c r="BL28" s="20"/>
      <c r="BM28" s="43"/>
      <c r="BN28" s="43"/>
      <c r="BO28" s="20"/>
      <c r="BP28" s="20"/>
      <c r="BQ28" s="43"/>
      <c r="BR28" s="43"/>
      <c r="BS28" s="20"/>
      <c r="BT28" s="20"/>
      <c r="BU28" s="43"/>
      <c r="BV28" s="43"/>
      <c r="BW28" s="20"/>
      <c r="BX28" s="20"/>
      <c r="BY28" s="20"/>
      <c r="BZ28" s="32"/>
      <c r="CA28" s="32"/>
      <c r="CB28" s="32"/>
    </row>
    <row r="31" spans="1:80" ht="30">
      <c r="A31" s="142" t="s">
        <v>93</v>
      </c>
      <c r="B31" s="13" t="s">
        <v>95</v>
      </c>
      <c r="C31" s="22">
        <v>1</v>
      </c>
      <c r="D31" s="41"/>
      <c r="E31" s="41"/>
      <c r="F31" s="36" t="s">
        <v>60</v>
      </c>
      <c r="G31" s="22">
        <v>2</v>
      </c>
      <c r="H31" s="41"/>
      <c r="I31" s="41"/>
      <c r="J31" s="36" t="s">
        <v>61</v>
      </c>
      <c r="K31" s="22">
        <v>3</v>
      </c>
      <c r="L31" s="41"/>
      <c r="M31" s="41"/>
      <c r="N31" s="36" t="s">
        <v>62</v>
      </c>
      <c r="O31" s="22">
        <v>4</v>
      </c>
      <c r="P31" s="41"/>
      <c r="Q31" s="41"/>
      <c r="R31" s="36" t="s">
        <v>63</v>
      </c>
      <c r="S31" s="22">
        <v>5</v>
      </c>
      <c r="T31" s="41"/>
      <c r="U31" s="41"/>
      <c r="V31" s="36" t="s">
        <v>64</v>
      </c>
      <c r="W31" s="22">
        <v>6</v>
      </c>
      <c r="X31" s="41"/>
      <c r="Y31" s="41"/>
      <c r="Z31" s="36" t="s">
        <v>65</v>
      </c>
      <c r="AA31" s="22">
        <v>7</v>
      </c>
      <c r="AB31" s="41"/>
      <c r="AC31" s="41"/>
      <c r="AD31" s="36" t="s">
        <v>66</v>
      </c>
      <c r="AE31" s="22">
        <v>8</v>
      </c>
      <c r="AF31" s="51"/>
      <c r="AG31" s="51"/>
      <c r="AH31" s="36"/>
      <c r="AI31" s="22">
        <v>9</v>
      </c>
      <c r="AJ31" s="48"/>
      <c r="AK31" s="48"/>
      <c r="AL31" s="37" t="s">
        <v>67</v>
      </c>
      <c r="AM31" s="9" t="s">
        <v>56</v>
      </c>
      <c r="AN31" s="24">
        <v>10</v>
      </c>
      <c r="AO31" s="53"/>
      <c r="AP31" s="53"/>
      <c r="AQ31" s="36" t="s">
        <v>68</v>
      </c>
      <c r="AR31" s="22">
        <v>11</v>
      </c>
      <c r="AS31" s="41"/>
      <c r="AT31" s="41"/>
      <c r="AU31" s="36" t="s">
        <v>69</v>
      </c>
      <c r="AV31" s="22">
        <v>12</v>
      </c>
      <c r="AW31" s="41"/>
      <c r="AX31" s="41"/>
      <c r="AY31" s="36" t="s">
        <v>70</v>
      </c>
      <c r="AZ31" s="22">
        <v>13</v>
      </c>
      <c r="BA31" s="41"/>
      <c r="BB31" s="41"/>
      <c r="BC31" s="36" t="s">
        <v>71</v>
      </c>
      <c r="BD31" s="22">
        <v>14</v>
      </c>
      <c r="BE31" s="41"/>
      <c r="BF31" s="41"/>
      <c r="BG31" s="36" t="s">
        <v>72</v>
      </c>
      <c r="BH31" s="22">
        <v>15</v>
      </c>
      <c r="BI31" s="41"/>
      <c r="BJ31" s="41"/>
      <c r="BK31" s="36" t="s">
        <v>73</v>
      </c>
      <c r="BL31" s="22">
        <v>16</v>
      </c>
      <c r="BM31" s="41"/>
      <c r="BN31" s="41"/>
      <c r="BO31" s="36" t="s">
        <v>74</v>
      </c>
      <c r="BP31" s="22">
        <v>17</v>
      </c>
      <c r="BQ31" s="41"/>
      <c r="BR31" s="41"/>
      <c r="BS31" s="36" t="s">
        <v>75</v>
      </c>
      <c r="BT31" s="22">
        <v>18</v>
      </c>
      <c r="BU31" s="48"/>
      <c r="BV31" s="48"/>
      <c r="BW31" s="37" t="s">
        <v>76</v>
      </c>
      <c r="BX31" s="23" t="s">
        <v>57</v>
      </c>
      <c r="BY31" s="12" t="s">
        <v>0</v>
      </c>
      <c r="BZ31" s="34" t="s">
        <v>77</v>
      </c>
      <c r="CA31" s="35" t="s">
        <v>1</v>
      </c>
      <c r="CB31" s="82"/>
    </row>
    <row r="32" spans="1:80">
      <c r="A32" s="143"/>
      <c r="B32" s="14" t="s">
        <v>52</v>
      </c>
      <c r="C32" s="22"/>
      <c r="D32" s="41"/>
      <c r="E32" s="41"/>
      <c r="F32" s="22"/>
      <c r="G32" s="22"/>
      <c r="H32" s="41"/>
      <c r="I32" s="41"/>
      <c r="J32" s="22"/>
      <c r="K32" s="22"/>
      <c r="L32" s="41"/>
      <c r="M32" s="41"/>
      <c r="N32" s="22"/>
      <c r="O32" s="22"/>
      <c r="P32" s="41"/>
      <c r="Q32" s="41"/>
      <c r="R32" s="22"/>
      <c r="S32" s="22"/>
      <c r="T32" s="41"/>
      <c r="U32" s="41"/>
      <c r="V32" s="22"/>
      <c r="W32" s="22"/>
      <c r="X32" s="41"/>
      <c r="Y32" s="41"/>
      <c r="Z32" s="22"/>
      <c r="AA32" s="22"/>
      <c r="AB32" s="41"/>
      <c r="AC32" s="41"/>
      <c r="AD32" s="22"/>
      <c r="AE32" s="22"/>
      <c r="AF32" s="41"/>
      <c r="AG32" s="41"/>
      <c r="AH32" s="22"/>
      <c r="AI32" s="22"/>
      <c r="AJ32" s="48"/>
      <c r="AK32" s="48"/>
      <c r="AL32" s="23"/>
      <c r="AM32" s="9">
        <f>SUM(C32:AL32)</f>
        <v>0</v>
      </c>
      <c r="AN32" s="24"/>
      <c r="AO32" s="53"/>
      <c r="AP32" s="53"/>
      <c r="AQ32" s="22"/>
      <c r="AR32" s="22"/>
      <c r="AS32" s="41"/>
      <c r="AT32" s="41"/>
      <c r="AU32" s="22"/>
      <c r="AV32" s="22"/>
      <c r="AW32" s="41"/>
      <c r="AX32" s="41"/>
      <c r="AY32" s="22"/>
      <c r="AZ32" s="22"/>
      <c r="BA32" s="41"/>
      <c r="BB32" s="41"/>
      <c r="BC32" s="22"/>
      <c r="BD32" s="22"/>
      <c r="BE32" s="41"/>
      <c r="BF32" s="41"/>
      <c r="BG32" s="22"/>
      <c r="BH32" s="22"/>
      <c r="BI32" s="41"/>
      <c r="BJ32" s="41"/>
      <c r="BK32" s="22"/>
      <c r="BL32" s="22"/>
      <c r="BM32" s="41"/>
      <c r="BN32" s="41"/>
      <c r="BO32" s="22"/>
      <c r="BP32" s="22"/>
      <c r="BQ32" s="41"/>
      <c r="BR32" s="41"/>
      <c r="BS32" s="22"/>
      <c r="BT32" s="22"/>
      <c r="BU32" s="48"/>
      <c r="BV32" s="48"/>
      <c r="BW32" s="23"/>
      <c r="BX32" s="10">
        <f>SUM(AN32:BW32)</f>
        <v>0</v>
      </c>
      <c r="BY32" s="10">
        <f>SUM(AM32+BX32)</f>
        <v>0</v>
      </c>
      <c r="BZ32" s="25" t="s">
        <v>81</v>
      </c>
      <c r="CA32" s="33"/>
      <c r="CB32" s="82"/>
    </row>
    <row r="33" spans="1:80">
      <c r="A33" s="143"/>
      <c r="B33" s="15" t="s">
        <v>83</v>
      </c>
      <c r="C33" s="22"/>
      <c r="D33" s="41"/>
      <c r="E33" s="41"/>
      <c r="F33" s="22"/>
      <c r="G33" s="22"/>
      <c r="H33" s="41"/>
      <c r="I33" s="41"/>
      <c r="J33" s="22"/>
      <c r="K33" s="22"/>
      <c r="L33" s="41"/>
      <c r="M33" s="41"/>
      <c r="N33" s="22"/>
      <c r="O33" s="22"/>
      <c r="P33" s="41"/>
      <c r="Q33" s="41"/>
      <c r="R33" s="22"/>
      <c r="S33" s="22"/>
      <c r="T33" s="41"/>
      <c r="U33" s="41"/>
      <c r="V33" s="22"/>
      <c r="W33" s="22"/>
      <c r="X33" s="41"/>
      <c r="Y33" s="41"/>
      <c r="Z33" s="22"/>
      <c r="AA33" s="22"/>
      <c r="AB33" s="41"/>
      <c r="AC33" s="41"/>
      <c r="AD33" s="22"/>
      <c r="AE33" s="22"/>
      <c r="AF33" s="41"/>
      <c r="AG33" s="41"/>
      <c r="AH33" s="22"/>
      <c r="AI33" s="22"/>
      <c r="AJ33" s="48"/>
      <c r="AK33" s="48"/>
      <c r="AL33" s="23"/>
      <c r="AM33" s="9" t="s">
        <v>84</v>
      </c>
      <c r="AN33" s="24"/>
      <c r="AO33" s="53"/>
      <c r="AP33" s="53"/>
      <c r="AQ33" s="22"/>
      <c r="AR33" s="22"/>
      <c r="AS33" s="41"/>
      <c r="AT33" s="41"/>
      <c r="AU33" s="22"/>
      <c r="AV33" s="22"/>
      <c r="AW33" s="41"/>
      <c r="AX33" s="41"/>
      <c r="AY33" s="22"/>
      <c r="AZ33" s="22"/>
      <c r="BA33" s="41"/>
      <c r="BB33" s="41"/>
      <c r="BC33" s="22"/>
      <c r="BD33" s="22"/>
      <c r="BE33" s="41"/>
      <c r="BF33" s="41"/>
      <c r="BG33" s="22"/>
      <c r="BH33" s="22"/>
      <c r="BI33" s="41"/>
      <c r="BJ33" s="41"/>
      <c r="BK33" s="22"/>
      <c r="BL33" s="22"/>
      <c r="BM33" s="41"/>
      <c r="BN33" s="41"/>
      <c r="BO33" s="22"/>
      <c r="BP33" s="22"/>
      <c r="BQ33" s="41"/>
      <c r="BR33" s="41"/>
      <c r="BS33" s="22"/>
      <c r="BT33" s="22"/>
      <c r="BU33" s="48"/>
      <c r="BV33" s="48"/>
      <c r="BW33" s="23"/>
      <c r="BX33" s="11" t="s">
        <v>84</v>
      </c>
      <c r="BY33" s="11" t="s">
        <v>84</v>
      </c>
      <c r="BZ33" s="26"/>
      <c r="CA33" s="80" t="s">
        <v>1</v>
      </c>
      <c r="CB33" s="80" t="s">
        <v>85</v>
      </c>
    </row>
    <row r="34" spans="1:80">
      <c r="A34" s="143"/>
      <c r="B34" s="13" t="s">
        <v>36</v>
      </c>
      <c r="C34" s="5"/>
      <c r="D34" s="44"/>
      <c r="E34" s="44"/>
      <c r="F34" s="5"/>
      <c r="G34" s="6"/>
      <c r="H34" s="44"/>
      <c r="I34" s="44"/>
      <c r="J34" s="6"/>
      <c r="K34" s="5"/>
      <c r="L34" s="44"/>
      <c r="M34" s="44"/>
      <c r="N34" s="5"/>
      <c r="O34" s="6"/>
      <c r="P34" s="44"/>
      <c r="Q34" s="44"/>
      <c r="R34" s="6"/>
      <c r="S34" s="5"/>
      <c r="T34" s="44"/>
      <c r="U34" s="44"/>
      <c r="V34" s="5"/>
      <c r="W34" s="6"/>
      <c r="X34" s="44"/>
      <c r="Y34" s="44"/>
      <c r="Z34" s="6"/>
      <c r="AA34" s="5"/>
      <c r="AB34" s="44"/>
      <c r="AC34" s="44"/>
      <c r="AD34" s="6"/>
      <c r="AE34" s="6"/>
      <c r="AF34" s="42"/>
      <c r="AG34" s="42"/>
      <c r="AH34" s="6"/>
      <c r="AI34" s="5"/>
      <c r="AJ34" s="49"/>
      <c r="AK34" s="49"/>
      <c r="AL34" s="16"/>
      <c r="AM34" s="9">
        <f t="shared" ref="AM34:AM42" si="8">SUM(F34+J34+N34+R34+V34+Z34+AB34+AD34+AL34)</f>
        <v>0</v>
      </c>
      <c r="AN34" s="7"/>
      <c r="AO34" s="54"/>
      <c r="AP34" s="54"/>
      <c r="AQ34" s="6"/>
      <c r="AR34" s="5"/>
      <c r="AS34" s="42"/>
      <c r="AT34" s="42"/>
      <c r="AU34" s="5"/>
      <c r="AV34" s="6"/>
      <c r="AW34" s="42"/>
      <c r="AX34" s="42"/>
      <c r="AY34" s="6"/>
      <c r="AZ34" s="5"/>
      <c r="BA34" s="42"/>
      <c r="BB34" s="42"/>
      <c r="BC34" s="5"/>
      <c r="BD34" s="6"/>
      <c r="BE34" s="42"/>
      <c r="BF34" s="42"/>
      <c r="BG34" s="6"/>
      <c r="BH34" s="5"/>
      <c r="BI34" s="42"/>
      <c r="BJ34" s="42"/>
      <c r="BK34" s="5"/>
      <c r="BL34" s="6"/>
      <c r="BM34" s="42"/>
      <c r="BN34" s="42"/>
      <c r="BO34" s="6"/>
      <c r="BP34" s="5"/>
      <c r="BQ34" s="42"/>
      <c r="BR34" s="42"/>
      <c r="BS34" s="5"/>
      <c r="BT34" s="6"/>
      <c r="BU34" s="56"/>
      <c r="BV34" s="56"/>
      <c r="BW34" s="17"/>
      <c r="BX34" s="12">
        <f>SUM(AQ34+AU34+AY34+BC34+BG34+BK34+BO34+BS34+BW34)</f>
        <v>0</v>
      </c>
      <c r="BY34" s="12">
        <f>SUM(AM34+BX34)</f>
        <v>0</v>
      </c>
      <c r="BZ34" s="27"/>
      <c r="CA34" s="81">
        <f>RANK(BY34,$BY$34:$BY$42)</f>
        <v>1</v>
      </c>
      <c r="CB34" s="83"/>
    </row>
    <row r="35" spans="1:80">
      <c r="A35" s="143"/>
      <c r="B35" s="13" t="s">
        <v>88</v>
      </c>
      <c r="C35" s="5"/>
      <c r="D35" s="44"/>
      <c r="E35" s="44"/>
      <c r="F35" s="5"/>
      <c r="G35" s="6"/>
      <c r="H35" s="44"/>
      <c r="I35" s="44"/>
      <c r="J35" s="6"/>
      <c r="K35" s="5"/>
      <c r="L35" s="44"/>
      <c r="M35" s="44"/>
      <c r="N35" s="5"/>
      <c r="O35" s="6"/>
      <c r="P35" s="44"/>
      <c r="Q35" s="44"/>
      <c r="R35" s="6"/>
      <c r="S35" s="5"/>
      <c r="T35" s="44"/>
      <c r="U35" s="44"/>
      <c r="V35" s="5"/>
      <c r="W35" s="6"/>
      <c r="X35" s="44"/>
      <c r="Y35" s="44"/>
      <c r="Z35" s="6"/>
      <c r="AA35" s="5"/>
      <c r="AB35" s="44"/>
      <c r="AC35" s="44"/>
      <c r="AD35" s="6"/>
      <c r="AE35" s="6"/>
      <c r="AF35" s="42"/>
      <c r="AG35" s="42"/>
      <c r="AH35" s="6"/>
      <c r="AI35" s="5"/>
      <c r="AJ35" s="49"/>
      <c r="AK35" s="49"/>
      <c r="AL35" s="16"/>
      <c r="AM35" s="9">
        <f t="shared" si="8"/>
        <v>0</v>
      </c>
      <c r="AN35" s="7"/>
      <c r="AO35" s="54"/>
      <c r="AP35" s="54"/>
      <c r="AQ35" s="6"/>
      <c r="AR35" s="5"/>
      <c r="AS35" s="42"/>
      <c r="AT35" s="42"/>
      <c r="AU35" s="5"/>
      <c r="AV35" s="6"/>
      <c r="AW35" s="42"/>
      <c r="AX35" s="42"/>
      <c r="AY35" s="6"/>
      <c r="AZ35" s="5"/>
      <c r="BA35" s="42"/>
      <c r="BB35" s="42"/>
      <c r="BC35" s="5"/>
      <c r="BD35" s="6"/>
      <c r="BE35" s="42"/>
      <c r="BF35" s="42"/>
      <c r="BG35" s="6"/>
      <c r="BH35" s="5"/>
      <c r="BI35" s="42"/>
      <c r="BJ35" s="42"/>
      <c r="BK35" s="5"/>
      <c r="BL35" s="6"/>
      <c r="BM35" s="42"/>
      <c r="BN35" s="42"/>
      <c r="BO35" s="6"/>
      <c r="BP35" s="5"/>
      <c r="BQ35" s="42"/>
      <c r="BR35" s="42"/>
      <c r="BS35" s="5"/>
      <c r="BT35" s="6"/>
      <c r="BU35" s="56"/>
      <c r="BV35" s="56"/>
      <c r="BW35" s="17"/>
      <c r="BX35" s="12">
        <f t="shared" ref="BX35:BX42" si="9">SUM(AQ35+AU35+AY35+BC35+BG35+BK35+BO35+BS35+BW35)</f>
        <v>0</v>
      </c>
      <c r="BY35" s="12">
        <f t="shared" ref="BY35:BY42" si="10">SUM(AM35+BX35)</f>
        <v>0</v>
      </c>
      <c r="BZ35" s="28"/>
      <c r="CA35" s="81">
        <f t="shared" ref="CA35:CA42" si="11">RANK(BY35,$BY$34:$BY$42)</f>
        <v>1</v>
      </c>
      <c r="CB35" s="83"/>
    </row>
    <row r="36" spans="1:80">
      <c r="A36" s="143"/>
      <c r="B36" s="13" t="s">
        <v>89</v>
      </c>
      <c r="C36" s="5"/>
      <c r="D36" s="44"/>
      <c r="E36" s="44"/>
      <c r="F36" s="5"/>
      <c r="G36" s="6"/>
      <c r="H36" s="44"/>
      <c r="I36" s="44"/>
      <c r="J36" s="6"/>
      <c r="K36" s="5"/>
      <c r="L36" s="44"/>
      <c r="M36" s="44"/>
      <c r="N36" s="5"/>
      <c r="O36" s="6"/>
      <c r="P36" s="44"/>
      <c r="Q36" s="44"/>
      <c r="R36" s="6"/>
      <c r="S36" s="5"/>
      <c r="T36" s="44"/>
      <c r="U36" s="44"/>
      <c r="V36" s="5"/>
      <c r="W36" s="6"/>
      <c r="X36" s="44"/>
      <c r="Y36" s="44"/>
      <c r="Z36" s="6"/>
      <c r="AA36" s="5"/>
      <c r="AB36" s="44"/>
      <c r="AC36" s="44"/>
      <c r="AD36" s="6"/>
      <c r="AE36" s="6"/>
      <c r="AF36" s="42"/>
      <c r="AG36" s="42"/>
      <c r="AH36" s="6"/>
      <c r="AI36" s="5"/>
      <c r="AJ36" s="49"/>
      <c r="AK36" s="49"/>
      <c r="AL36" s="16"/>
      <c r="AM36" s="9">
        <f t="shared" si="8"/>
        <v>0</v>
      </c>
      <c r="AN36" s="7"/>
      <c r="AO36" s="54"/>
      <c r="AP36" s="54"/>
      <c r="AQ36" s="6"/>
      <c r="AR36" s="5"/>
      <c r="AS36" s="42"/>
      <c r="AT36" s="42"/>
      <c r="AU36" s="5"/>
      <c r="AV36" s="6"/>
      <c r="AW36" s="42"/>
      <c r="AX36" s="42"/>
      <c r="AY36" s="6"/>
      <c r="AZ36" s="5"/>
      <c r="BA36" s="42"/>
      <c r="BB36" s="42"/>
      <c r="BC36" s="5"/>
      <c r="BD36" s="6"/>
      <c r="BE36" s="42"/>
      <c r="BF36" s="42"/>
      <c r="BG36" s="6"/>
      <c r="BH36" s="5"/>
      <c r="BI36" s="42"/>
      <c r="BJ36" s="42"/>
      <c r="BK36" s="5"/>
      <c r="BL36" s="6"/>
      <c r="BM36" s="42"/>
      <c r="BN36" s="42"/>
      <c r="BO36" s="6"/>
      <c r="BP36" s="5"/>
      <c r="BQ36" s="42"/>
      <c r="BR36" s="42"/>
      <c r="BS36" s="5"/>
      <c r="BT36" s="6"/>
      <c r="BU36" s="56"/>
      <c r="BV36" s="56"/>
      <c r="BW36" s="17"/>
      <c r="BX36" s="12">
        <f t="shared" si="9"/>
        <v>0</v>
      </c>
      <c r="BY36" s="12">
        <f t="shared" si="10"/>
        <v>0</v>
      </c>
      <c r="BZ36" s="28"/>
      <c r="CA36" s="81">
        <f t="shared" si="11"/>
        <v>1</v>
      </c>
      <c r="CB36" s="83"/>
    </row>
    <row r="37" spans="1:80">
      <c r="A37" s="143"/>
      <c r="B37" s="13" t="s">
        <v>16</v>
      </c>
      <c r="C37" s="5"/>
      <c r="D37" s="44"/>
      <c r="E37" s="44"/>
      <c r="F37" s="5"/>
      <c r="G37" s="6"/>
      <c r="H37" s="44"/>
      <c r="I37" s="44"/>
      <c r="J37" s="6"/>
      <c r="K37" s="5"/>
      <c r="L37" s="44"/>
      <c r="M37" s="44"/>
      <c r="N37" s="5"/>
      <c r="O37" s="6"/>
      <c r="P37" s="44"/>
      <c r="Q37" s="44"/>
      <c r="R37" s="6"/>
      <c r="S37" s="5"/>
      <c r="T37" s="44"/>
      <c r="U37" s="44"/>
      <c r="V37" s="5"/>
      <c r="W37" s="6"/>
      <c r="X37" s="44"/>
      <c r="Y37" s="44"/>
      <c r="Z37" s="6"/>
      <c r="AA37" s="5"/>
      <c r="AB37" s="44"/>
      <c r="AC37" s="44"/>
      <c r="AD37" s="6"/>
      <c r="AE37" s="6"/>
      <c r="AF37" s="42"/>
      <c r="AG37" s="42"/>
      <c r="AH37" s="6"/>
      <c r="AI37" s="5"/>
      <c r="AJ37" s="49"/>
      <c r="AK37" s="49"/>
      <c r="AL37" s="16"/>
      <c r="AM37" s="9">
        <f t="shared" si="8"/>
        <v>0</v>
      </c>
      <c r="AN37" s="7"/>
      <c r="AO37" s="54"/>
      <c r="AP37" s="54"/>
      <c r="AQ37" s="6"/>
      <c r="AR37" s="5"/>
      <c r="AS37" s="42"/>
      <c r="AT37" s="42"/>
      <c r="AU37" s="5"/>
      <c r="AV37" s="6"/>
      <c r="AW37" s="42"/>
      <c r="AX37" s="42"/>
      <c r="AY37" s="6"/>
      <c r="AZ37" s="5"/>
      <c r="BA37" s="42"/>
      <c r="BB37" s="42"/>
      <c r="BC37" s="5"/>
      <c r="BD37" s="6"/>
      <c r="BE37" s="42"/>
      <c r="BF37" s="42"/>
      <c r="BG37" s="6"/>
      <c r="BH37" s="5"/>
      <c r="BI37" s="42"/>
      <c r="BJ37" s="42"/>
      <c r="BK37" s="5"/>
      <c r="BL37" s="6"/>
      <c r="BM37" s="42"/>
      <c r="BN37" s="42"/>
      <c r="BO37" s="6"/>
      <c r="BP37" s="5"/>
      <c r="BQ37" s="42"/>
      <c r="BR37" s="42"/>
      <c r="BS37" s="5"/>
      <c r="BT37" s="6"/>
      <c r="BU37" s="56"/>
      <c r="BV37" s="56"/>
      <c r="BW37" s="17"/>
      <c r="BX37" s="12">
        <f t="shared" si="9"/>
        <v>0</v>
      </c>
      <c r="BY37" s="12">
        <f t="shared" si="10"/>
        <v>0</v>
      </c>
      <c r="BZ37" s="28"/>
      <c r="CA37" s="81">
        <f t="shared" si="11"/>
        <v>1</v>
      </c>
      <c r="CB37" s="83"/>
    </row>
    <row r="38" spans="1:80">
      <c r="A38" s="143"/>
      <c r="B38" s="13" t="s">
        <v>18</v>
      </c>
      <c r="C38" s="5"/>
      <c r="D38" s="44"/>
      <c r="E38" s="44"/>
      <c r="F38" s="5"/>
      <c r="G38" s="6"/>
      <c r="H38" s="44"/>
      <c r="I38" s="44"/>
      <c r="J38" s="6"/>
      <c r="K38" s="5"/>
      <c r="L38" s="44"/>
      <c r="M38" s="44"/>
      <c r="N38" s="5"/>
      <c r="O38" s="6"/>
      <c r="P38" s="44"/>
      <c r="Q38" s="44"/>
      <c r="R38" s="6"/>
      <c r="S38" s="5"/>
      <c r="T38" s="44"/>
      <c r="U38" s="44"/>
      <c r="V38" s="5"/>
      <c r="W38" s="6"/>
      <c r="X38" s="44"/>
      <c r="Y38" s="44"/>
      <c r="Z38" s="6"/>
      <c r="AA38" s="5"/>
      <c r="AB38" s="44"/>
      <c r="AC38" s="44"/>
      <c r="AD38" s="6"/>
      <c r="AE38" s="6"/>
      <c r="AF38" s="42"/>
      <c r="AG38" s="42"/>
      <c r="AH38" s="6"/>
      <c r="AI38" s="5"/>
      <c r="AJ38" s="49"/>
      <c r="AK38" s="49"/>
      <c r="AL38" s="16"/>
      <c r="AM38" s="9">
        <f t="shared" si="8"/>
        <v>0</v>
      </c>
      <c r="AN38" s="7"/>
      <c r="AO38" s="54"/>
      <c r="AP38" s="54"/>
      <c r="AQ38" s="6"/>
      <c r="AR38" s="5"/>
      <c r="AS38" s="42"/>
      <c r="AT38" s="42"/>
      <c r="AU38" s="5"/>
      <c r="AV38" s="6"/>
      <c r="AW38" s="42"/>
      <c r="AX38" s="42"/>
      <c r="AY38" s="6"/>
      <c r="AZ38" s="5"/>
      <c r="BA38" s="42"/>
      <c r="BB38" s="42"/>
      <c r="BC38" s="5"/>
      <c r="BD38" s="6"/>
      <c r="BE38" s="42"/>
      <c r="BF38" s="42"/>
      <c r="BG38" s="6"/>
      <c r="BH38" s="5"/>
      <c r="BI38" s="42"/>
      <c r="BJ38" s="42"/>
      <c r="BK38" s="5"/>
      <c r="BL38" s="6"/>
      <c r="BM38" s="42"/>
      <c r="BN38" s="42"/>
      <c r="BO38" s="6"/>
      <c r="BP38" s="5"/>
      <c r="BQ38" s="42"/>
      <c r="BR38" s="42"/>
      <c r="BS38" s="5"/>
      <c r="BT38" s="6"/>
      <c r="BU38" s="56"/>
      <c r="BV38" s="56"/>
      <c r="BW38" s="17"/>
      <c r="BX38" s="12">
        <f t="shared" si="9"/>
        <v>0</v>
      </c>
      <c r="BY38" s="12">
        <f t="shared" si="10"/>
        <v>0</v>
      </c>
      <c r="BZ38" s="28"/>
      <c r="CA38" s="81">
        <f t="shared" si="11"/>
        <v>1</v>
      </c>
      <c r="CB38" s="83"/>
    </row>
    <row r="39" spans="1:80">
      <c r="A39" s="143"/>
      <c r="B39" s="13" t="s">
        <v>40</v>
      </c>
      <c r="C39" s="5"/>
      <c r="D39" s="44"/>
      <c r="E39" s="44"/>
      <c r="F39" s="5"/>
      <c r="G39" s="6"/>
      <c r="H39" s="44"/>
      <c r="I39" s="44"/>
      <c r="J39" s="6"/>
      <c r="K39" s="5"/>
      <c r="L39" s="44"/>
      <c r="M39" s="44"/>
      <c r="N39" s="5"/>
      <c r="O39" s="6"/>
      <c r="P39" s="44"/>
      <c r="Q39" s="44"/>
      <c r="R39" s="6"/>
      <c r="S39" s="5"/>
      <c r="T39" s="44"/>
      <c r="U39" s="44"/>
      <c r="V39" s="5"/>
      <c r="W39" s="6"/>
      <c r="X39" s="44"/>
      <c r="Y39" s="44"/>
      <c r="Z39" s="6"/>
      <c r="AA39" s="5"/>
      <c r="AB39" s="44"/>
      <c r="AC39" s="44"/>
      <c r="AD39" s="6"/>
      <c r="AE39" s="6"/>
      <c r="AF39" s="42"/>
      <c r="AG39" s="42"/>
      <c r="AH39" s="6"/>
      <c r="AI39" s="5"/>
      <c r="AJ39" s="49"/>
      <c r="AK39" s="49"/>
      <c r="AL39" s="16"/>
      <c r="AM39" s="9">
        <f t="shared" si="8"/>
        <v>0</v>
      </c>
      <c r="AN39" s="7"/>
      <c r="AO39" s="54"/>
      <c r="AP39" s="54"/>
      <c r="AQ39" s="6"/>
      <c r="AR39" s="5"/>
      <c r="AS39" s="42"/>
      <c r="AT39" s="42"/>
      <c r="AU39" s="5"/>
      <c r="AV39" s="6"/>
      <c r="AW39" s="42"/>
      <c r="AX39" s="42"/>
      <c r="AY39" s="6"/>
      <c r="AZ39" s="5"/>
      <c r="BA39" s="42"/>
      <c r="BB39" s="42"/>
      <c r="BC39" s="5"/>
      <c r="BD39" s="6"/>
      <c r="BE39" s="42"/>
      <c r="BF39" s="42"/>
      <c r="BG39" s="6"/>
      <c r="BH39" s="5"/>
      <c r="BI39" s="42"/>
      <c r="BJ39" s="42"/>
      <c r="BK39" s="5"/>
      <c r="BL39" s="6"/>
      <c r="BM39" s="42"/>
      <c r="BN39" s="42"/>
      <c r="BO39" s="6"/>
      <c r="BP39" s="5"/>
      <c r="BQ39" s="42"/>
      <c r="BR39" s="42"/>
      <c r="BS39" s="5"/>
      <c r="BT39" s="6"/>
      <c r="BU39" s="56"/>
      <c r="BV39" s="56"/>
      <c r="BW39" s="17"/>
      <c r="BX39" s="12">
        <f t="shared" si="9"/>
        <v>0</v>
      </c>
      <c r="BY39" s="12">
        <f t="shared" si="10"/>
        <v>0</v>
      </c>
      <c r="BZ39" s="28"/>
      <c r="CA39" s="81">
        <f t="shared" si="11"/>
        <v>1</v>
      </c>
      <c r="CB39" s="83"/>
    </row>
    <row r="40" spans="1:80">
      <c r="A40" s="143"/>
      <c r="B40" s="13" t="s">
        <v>34</v>
      </c>
      <c r="C40" s="5"/>
      <c r="D40" s="44"/>
      <c r="E40" s="44"/>
      <c r="F40" s="5"/>
      <c r="G40" s="6"/>
      <c r="H40" s="44"/>
      <c r="I40" s="44"/>
      <c r="J40" s="6"/>
      <c r="K40" s="5"/>
      <c r="L40" s="44"/>
      <c r="M40" s="44"/>
      <c r="N40" s="5"/>
      <c r="O40" s="6"/>
      <c r="P40" s="44"/>
      <c r="Q40" s="44"/>
      <c r="R40" s="6"/>
      <c r="S40" s="5"/>
      <c r="T40" s="44"/>
      <c r="U40" s="44"/>
      <c r="V40" s="5"/>
      <c r="W40" s="6"/>
      <c r="X40" s="44"/>
      <c r="Y40" s="44"/>
      <c r="Z40" s="6"/>
      <c r="AA40" s="5"/>
      <c r="AB40" s="44"/>
      <c r="AC40" s="44"/>
      <c r="AD40" s="6"/>
      <c r="AE40" s="6"/>
      <c r="AF40" s="42"/>
      <c r="AG40" s="42"/>
      <c r="AH40" s="6"/>
      <c r="AI40" s="5"/>
      <c r="AJ40" s="49"/>
      <c r="AK40" s="49"/>
      <c r="AL40" s="16"/>
      <c r="AM40" s="9">
        <f t="shared" si="8"/>
        <v>0</v>
      </c>
      <c r="AN40" s="7"/>
      <c r="AO40" s="54"/>
      <c r="AP40" s="54"/>
      <c r="AQ40" s="6"/>
      <c r="AR40" s="5"/>
      <c r="AS40" s="42"/>
      <c r="AT40" s="42"/>
      <c r="AU40" s="5"/>
      <c r="AV40" s="6"/>
      <c r="AW40" s="42"/>
      <c r="AX40" s="42"/>
      <c r="AY40" s="6"/>
      <c r="AZ40" s="5"/>
      <c r="BA40" s="42"/>
      <c r="BB40" s="42"/>
      <c r="BC40" s="5"/>
      <c r="BD40" s="6"/>
      <c r="BE40" s="42"/>
      <c r="BF40" s="42"/>
      <c r="BG40" s="6"/>
      <c r="BH40" s="5"/>
      <c r="BI40" s="42"/>
      <c r="BJ40" s="42"/>
      <c r="BK40" s="5"/>
      <c r="BL40" s="6"/>
      <c r="BM40" s="42"/>
      <c r="BN40" s="42"/>
      <c r="BO40" s="6"/>
      <c r="BP40" s="5"/>
      <c r="BQ40" s="42"/>
      <c r="BR40" s="42"/>
      <c r="BS40" s="5"/>
      <c r="BT40" s="6"/>
      <c r="BU40" s="56"/>
      <c r="BV40" s="56"/>
      <c r="BW40" s="17"/>
      <c r="BX40" s="12">
        <f t="shared" si="9"/>
        <v>0</v>
      </c>
      <c r="BY40" s="12">
        <f t="shared" si="10"/>
        <v>0</v>
      </c>
      <c r="BZ40" s="28"/>
      <c r="CA40" s="81">
        <f t="shared" si="11"/>
        <v>1</v>
      </c>
      <c r="CB40" s="83"/>
    </row>
    <row r="41" spans="1:80">
      <c r="A41" s="143"/>
      <c r="B41" s="13" t="s">
        <v>92</v>
      </c>
      <c r="C41" s="5"/>
      <c r="D41" s="44"/>
      <c r="E41" s="44"/>
      <c r="F41" s="5"/>
      <c r="G41" s="6"/>
      <c r="H41" s="44"/>
      <c r="I41" s="44"/>
      <c r="J41" s="6"/>
      <c r="K41" s="5"/>
      <c r="L41" s="44"/>
      <c r="M41" s="44"/>
      <c r="N41" s="5"/>
      <c r="O41" s="6"/>
      <c r="P41" s="44"/>
      <c r="Q41" s="44"/>
      <c r="R41" s="6"/>
      <c r="S41" s="5"/>
      <c r="T41" s="44"/>
      <c r="U41" s="44"/>
      <c r="V41" s="5"/>
      <c r="W41" s="6"/>
      <c r="X41" s="44"/>
      <c r="Y41" s="44"/>
      <c r="Z41" s="6"/>
      <c r="AA41" s="5"/>
      <c r="AB41" s="44"/>
      <c r="AC41" s="44"/>
      <c r="AD41" s="6"/>
      <c r="AE41" s="6"/>
      <c r="AF41" s="42"/>
      <c r="AG41" s="42"/>
      <c r="AH41" s="6"/>
      <c r="AI41" s="5"/>
      <c r="AJ41" s="49"/>
      <c r="AK41" s="49"/>
      <c r="AL41" s="16"/>
      <c r="AM41" s="9">
        <f t="shared" si="8"/>
        <v>0</v>
      </c>
      <c r="AN41" s="7"/>
      <c r="AO41" s="54"/>
      <c r="AP41" s="54"/>
      <c r="AQ41" s="6"/>
      <c r="AR41" s="5"/>
      <c r="AS41" s="42"/>
      <c r="AT41" s="42"/>
      <c r="AU41" s="5"/>
      <c r="AV41" s="6"/>
      <c r="AW41" s="42"/>
      <c r="AX41" s="42"/>
      <c r="AY41" s="6"/>
      <c r="AZ41" s="5"/>
      <c r="BA41" s="42"/>
      <c r="BB41" s="42"/>
      <c r="BC41" s="5"/>
      <c r="BD41" s="6"/>
      <c r="BE41" s="42"/>
      <c r="BF41" s="42"/>
      <c r="BG41" s="6"/>
      <c r="BH41" s="5"/>
      <c r="BI41" s="42"/>
      <c r="BJ41" s="42"/>
      <c r="BK41" s="5"/>
      <c r="BL41" s="6"/>
      <c r="BM41" s="42"/>
      <c r="BN41" s="42"/>
      <c r="BO41" s="6"/>
      <c r="BP41" s="5"/>
      <c r="BQ41" s="42"/>
      <c r="BR41" s="42"/>
      <c r="BS41" s="5"/>
      <c r="BT41" s="6"/>
      <c r="BU41" s="56"/>
      <c r="BV41" s="56"/>
      <c r="BW41" s="17"/>
      <c r="BX41" s="12">
        <f t="shared" si="9"/>
        <v>0</v>
      </c>
      <c r="BY41" s="12">
        <f t="shared" si="10"/>
        <v>0</v>
      </c>
      <c r="BZ41" s="28"/>
      <c r="CA41" s="81">
        <f t="shared" si="11"/>
        <v>1</v>
      </c>
      <c r="CB41" s="83"/>
    </row>
    <row r="42" spans="1:80">
      <c r="A42" s="143"/>
      <c r="B42" s="14" t="s">
        <v>14</v>
      </c>
      <c r="C42" s="3"/>
      <c r="D42" s="44"/>
      <c r="E42" s="44"/>
      <c r="F42" s="5"/>
      <c r="G42" s="4"/>
      <c r="H42" s="46"/>
      <c r="I42" s="46"/>
      <c r="J42" s="4"/>
      <c r="K42" s="3"/>
      <c r="L42" s="46"/>
      <c r="M42" s="46"/>
      <c r="N42" s="3"/>
      <c r="O42" s="4"/>
      <c r="P42" s="46"/>
      <c r="Q42" s="46"/>
      <c r="R42" s="4"/>
      <c r="S42" s="3"/>
      <c r="T42" s="46"/>
      <c r="U42" s="46"/>
      <c r="V42" s="3"/>
      <c r="W42" s="4"/>
      <c r="X42" s="46"/>
      <c r="Y42" s="46"/>
      <c r="Z42" s="4"/>
      <c r="AA42" s="3"/>
      <c r="AB42" s="46"/>
      <c r="AC42" s="46"/>
      <c r="AD42" s="4"/>
      <c r="AE42" s="4"/>
      <c r="AF42" s="47"/>
      <c r="AG42" s="47"/>
      <c r="AH42" s="4"/>
      <c r="AI42" s="3"/>
      <c r="AJ42" s="50"/>
      <c r="AK42" s="50"/>
      <c r="AL42" s="18"/>
      <c r="AM42" s="9">
        <f t="shared" si="8"/>
        <v>0</v>
      </c>
      <c r="AN42" s="8"/>
      <c r="AO42" s="55"/>
      <c r="AP42" s="55"/>
      <c r="AQ42" s="4"/>
      <c r="AR42" s="3"/>
      <c r="AS42" s="47"/>
      <c r="AT42" s="47"/>
      <c r="AU42" s="3"/>
      <c r="AV42" s="4"/>
      <c r="AW42" s="47"/>
      <c r="AX42" s="47"/>
      <c r="AY42" s="4"/>
      <c r="AZ42" s="3"/>
      <c r="BA42" s="47"/>
      <c r="BB42" s="47"/>
      <c r="BC42" s="3"/>
      <c r="BD42" s="4"/>
      <c r="BE42" s="47"/>
      <c r="BF42" s="47"/>
      <c r="BG42" s="4"/>
      <c r="BH42" s="3"/>
      <c r="BI42" s="47"/>
      <c r="BJ42" s="47"/>
      <c r="BK42" s="3"/>
      <c r="BL42" s="4"/>
      <c r="BM42" s="47"/>
      <c r="BN42" s="47"/>
      <c r="BO42" s="4"/>
      <c r="BP42" s="3"/>
      <c r="BQ42" s="47"/>
      <c r="BR42" s="47"/>
      <c r="BS42" s="3"/>
      <c r="BT42" s="4"/>
      <c r="BU42" s="57"/>
      <c r="BV42" s="57"/>
      <c r="BW42" s="19"/>
      <c r="BX42" s="12">
        <f t="shared" si="9"/>
        <v>0</v>
      </c>
      <c r="BY42" s="12">
        <f t="shared" si="10"/>
        <v>0</v>
      </c>
      <c r="BZ42" s="28"/>
      <c r="CA42" s="81">
        <f t="shared" si="11"/>
        <v>1</v>
      </c>
      <c r="CB42" s="83"/>
    </row>
    <row r="43" spans="1:80">
      <c r="A43" s="143"/>
      <c r="B43" s="20"/>
      <c r="C43" s="20"/>
      <c r="D43" s="45"/>
      <c r="E43" s="45"/>
      <c r="F43" s="20"/>
      <c r="G43" s="20"/>
      <c r="H43" s="45"/>
      <c r="I43" s="45"/>
      <c r="J43" s="20"/>
      <c r="K43" s="20"/>
      <c r="L43" s="45"/>
      <c r="M43" s="45"/>
      <c r="N43" s="20"/>
      <c r="O43" s="20"/>
      <c r="P43" s="45"/>
      <c r="Q43" s="45"/>
      <c r="R43" s="20"/>
      <c r="S43" s="20"/>
      <c r="T43" s="45"/>
      <c r="U43" s="45"/>
      <c r="V43" s="20"/>
      <c r="W43" s="20"/>
      <c r="X43" s="45"/>
      <c r="Y43" s="45"/>
      <c r="Z43" s="20"/>
      <c r="AA43" s="20"/>
      <c r="AB43" s="45"/>
      <c r="AC43" s="45"/>
      <c r="AD43" s="20"/>
      <c r="AE43" s="20"/>
      <c r="AF43" s="43"/>
      <c r="AG43" s="43"/>
      <c r="AH43" s="20"/>
      <c r="AI43" s="20"/>
      <c r="AJ43" s="45"/>
      <c r="AK43" s="45"/>
      <c r="AL43" s="20"/>
      <c r="AM43" s="20"/>
      <c r="AN43" s="20"/>
      <c r="AO43" s="43"/>
      <c r="AP43" s="43"/>
      <c r="AQ43" s="20"/>
      <c r="AR43" s="20"/>
      <c r="AS43" s="43"/>
      <c r="AT43" s="43"/>
      <c r="AU43" s="20"/>
      <c r="AV43" s="20"/>
      <c r="AW43" s="43"/>
      <c r="AX43" s="43"/>
      <c r="AY43" s="20"/>
      <c r="AZ43" s="20"/>
      <c r="BA43" s="43"/>
      <c r="BB43" s="43"/>
      <c r="BC43" s="20"/>
      <c r="BD43" s="20"/>
      <c r="BE43" s="43"/>
      <c r="BF43" s="43"/>
      <c r="BG43" s="20"/>
      <c r="BH43" s="20"/>
      <c r="BI43" s="43"/>
      <c r="BJ43" s="43"/>
      <c r="BK43" s="20"/>
      <c r="BL43" s="20"/>
      <c r="BM43" s="43"/>
      <c r="BN43" s="43"/>
      <c r="BO43" s="20"/>
      <c r="BP43" s="20"/>
      <c r="BQ43" s="43"/>
      <c r="BR43" s="43"/>
      <c r="BS43" s="20"/>
      <c r="BT43" s="20"/>
      <c r="BU43" s="43"/>
      <c r="BV43" s="43"/>
      <c r="BW43" s="20"/>
      <c r="BX43" s="20"/>
      <c r="BY43" s="20"/>
      <c r="BZ43" s="32"/>
      <c r="CA43" s="32"/>
      <c r="CB43" s="32"/>
    </row>
    <row r="46" spans="1:80" ht="30">
      <c r="A46" s="142" t="s">
        <v>96</v>
      </c>
      <c r="B46" s="24" t="s">
        <v>97</v>
      </c>
      <c r="C46" s="22">
        <v>1</v>
      </c>
      <c r="D46" s="41"/>
      <c r="E46" s="41"/>
      <c r="F46" s="36" t="s">
        <v>60</v>
      </c>
      <c r="G46" s="22">
        <v>2</v>
      </c>
      <c r="H46" s="41"/>
      <c r="I46" s="41"/>
      <c r="J46" s="36" t="s">
        <v>61</v>
      </c>
      <c r="K46" s="22">
        <v>3</v>
      </c>
      <c r="L46" s="41"/>
      <c r="M46" s="41"/>
      <c r="N46" s="36" t="s">
        <v>62</v>
      </c>
      <c r="O46" s="22">
        <v>4</v>
      </c>
      <c r="P46" s="41"/>
      <c r="Q46" s="41"/>
      <c r="R46" s="36" t="s">
        <v>63</v>
      </c>
      <c r="S46" s="22">
        <v>5</v>
      </c>
      <c r="T46" s="41"/>
      <c r="U46" s="41"/>
      <c r="V46" s="36" t="s">
        <v>64</v>
      </c>
      <c r="W46" s="22">
        <v>6</v>
      </c>
      <c r="X46" s="41"/>
      <c r="Y46" s="41"/>
      <c r="Z46" s="36" t="s">
        <v>65</v>
      </c>
      <c r="AA46" s="22">
        <v>7</v>
      </c>
      <c r="AB46" s="41"/>
      <c r="AC46" s="41"/>
      <c r="AD46" s="36" t="s">
        <v>66</v>
      </c>
      <c r="AE46" s="22">
        <v>8</v>
      </c>
      <c r="AF46" s="51"/>
      <c r="AG46" s="51"/>
      <c r="AH46" s="36"/>
      <c r="AI46" s="22">
        <v>9</v>
      </c>
      <c r="AJ46" s="48"/>
      <c r="AK46" s="48"/>
      <c r="AL46" s="37" t="s">
        <v>67</v>
      </c>
      <c r="AM46" s="9" t="s">
        <v>56</v>
      </c>
      <c r="AN46" s="24">
        <v>10</v>
      </c>
      <c r="AO46" s="53"/>
      <c r="AP46" s="53"/>
      <c r="AQ46" s="36" t="s">
        <v>68</v>
      </c>
      <c r="AR46" s="22">
        <v>11</v>
      </c>
      <c r="AS46" s="41"/>
      <c r="AT46" s="41"/>
      <c r="AU46" s="36" t="s">
        <v>69</v>
      </c>
      <c r="AV46" s="22">
        <v>12</v>
      </c>
      <c r="AW46" s="41"/>
      <c r="AX46" s="41"/>
      <c r="AY46" s="36" t="s">
        <v>70</v>
      </c>
      <c r="AZ46" s="22">
        <v>13</v>
      </c>
      <c r="BA46" s="41"/>
      <c r="BB46" s="41"/>
      <c r="BC46" s="36" t="s">
        <v>71</v>
      </c>
      <c r="BD46" s="22">
        <v>14</v>
      </c>
      <c r="BE46" s="41"/>
      <c r="BF46" s="41"/>
      <c r="BG46" s="36" t="s">
        <v>72</v>
      </c>
      <c r="BH46" s="22">
        <v>15</v>
      </c>
      <c r="BI46" s="41"/>
      <c r="BJ46" s="41"/>
      <c r="BK46" s="36" t="s">
        <v>73</v>
      </c>
      <c r="BL46" s="22">
        <v>16</v>
      </c>
      <c r="BM46" s="41"/>
      <c r="BN46" s="41"/>
      <c r="BO46" s="36" t="s">
        <v>74</v>
      </c>
      <c r="BP46" s="22">
        <v>17</v>
      </c>
      <c r="BQ46" s="41"/>
      <c r="BR46" s="41"/>
      <c r="BS46" s="36" t="s">
        <v>75</v>
      </c>
      <c r="BT46" s="22">
        <v>18</v>
      </c>
      <c r="BU46" s="48"/>
      <c r="BV46" s="48"/>
      <c r="BW46" s="37" t="s">
        <v>76</v>
      </c>
      <c r="BX46" s="23" t="s">
        <v>57</v>
      </c>
      <c r="BY46" s="12" t="s">
        <v>0</v>
      </c>
      <c r="BZ46" s="34" t="s">
        <v>77</v>
      </c>
      <c r="CA46" s="35" t="s">
        <v>1</v>
      </c>
      <c r="CB46" s="82"/>
    </row>
    <row r="47" spans="1:80">
      <c r="A47" s="143"/>
      <c r="B47" s="86" t="s">
        <v>52</v>
      </c>
      <c r="C47" s="22"/>
      <c r="D47" s="41"/>
      <c r="E47" s="41"/>
      <c r="F47" s="22"/>
      <c r="G47" s="22"/>
      <c r="H47" s="41"/>
      <c r="I47" s="41"/>
      <c r="J47" s="22"/>
      <c r="K47" s="22"/>
      <c r="L47" s="41"/>
      <c r="M47" s="41"/>
      <c r="N47" s="22"/>
      <c r="O47" s="22"/>
      <c r="P47" s="41"/>
      <c r="Q47" s="41"/>
      <c r="R47" s="22"/>
      <c r="S47" s="22"/>
      <c r="T47" s="41"/>
      <c r="U47" s="41"/>
      <c r="V47" s="22"/>
      <c r="W47" s="22"/>
      <c r="X47" s="41"/>
      <c r="Y47" s="41"/>
      <c r="Z47" s="22"/>
      <c r="AA47" s="22"/>
      <c r="AB47" s="41"/>
      <c r="AC47" s="41"/>
      <c r="AD47" s="22"/>
      <c r="AE47" s="22"/>
      <c r="AF47" s="41"/>
      <c r="AG47" s="41"/>
      <c r="AH47" s="22"/>
      <c r="AI47" s="22"/>
      <c r="AJ47" s="48"/>
      <c r="AK47" s="48"/>
      <c r="AL47" s="23"/>
      <c r="AM47" s="9">
        <f>SUM(C47:AL47)</f>
        <v>0</v>
      </c>
      <c r="AN47" s="24"/>
      <c r="AO47" s="53"/>
      <c r="AP47" s="53"/>
      <c r="AQ47" s="22"/>
      <c r="AR47" s="22"/>
      <c r="AS47" s="41"/>
      <c r="AT47" s="41"/>
      <c r="AU47" s="22"/>
      <c r="AV47" s="22"/>
      <c r="AW47" s="41"/>
      <c r="AX47" s="41"/>
      <c r="AY47" s="22"/>
      <c r="AZ47" s="22"/>
      <c r="BA47" s="41"/>
      <c r="BB47" s="41"/>
      <c r="BC47" s="22"/>
      <c r="BD47" s="22"/>
      <c r="BE47" s="41"/>
      <c r="BF47" s="41"/>
      <c r="BG47" s="22"/>
      <c r="BH47" s="22"/>
      <c r="BI47" s="41"/>
      <c r="BJ47" s="41"/>
      <c r="BK47" s="22"/>
      <c r="BL47" s="22"/>
      <c r="BM47" s="41"/>
      <c r="BN47" s="41"/>
      <c r="BO47" s="22"/>
      <c r="BP47" s="22"/>
      <c r="BQ47" s="41"/>
      <c r="BR47" s="41"/>
      <c r="BS47" s="22"/>
      <c r="BT47" s="22"/>
      <c r="BU47" s="48"/>
      <c r="BV47" s="48"/>
      <c r="BW47" s="23"/>
      <c r="BX47" s="10">
        <f>SUM(AN47:BW47)</f>
        <v>0</v>
      </c>
      <c r="BY47" s="10">
        <f>SUM(AM47+BX47)</f>
        <v>0</v>
      </c>
      <c r="BZ47" s="25" t="s">
        <v>81</v>
      </c>
      <c r="CA47" s="33"/>
      <c r="CB47" s="82"/>
    </row>
    <row r="48" spans="1:80">
      <c r="A48" s="143"/>
      <c r="B48" s="87" t="s">
        <v>83</v>
      </c>
      <c r="C48" s="22"/>
      <c r="D48" s="41"/>
      <c r="E48" s="41"/>
      <c r="F48" s="22"/>
      <c r="G48" s="22"/>
      <c r="H48" s="41"/>
      <c r="I48" s="41"/>
      <c r="J48" s="22"/>
      <c r="K48" s="22"/>
      <c r="L48" s="41"/>
      <c r="M48" s="41"/>
      <c r="N48" s="22"/>
      <c r="O48" s="22"/>
      <c r="P48" s="41"/>
      <c r="Q48" s="41"/>
      <c r="R48" s="22"/>
      <c r="S48" s="22"/>
      <c r="T48" s="41"/>
      <c r="U48" s="41"/>
      <c r="V48" s="22"/>
      <c r="W48" s="22"/>
      <c r="X48" s="41"/>
      <c r="Y48" s="41"/>
      <c r="Z48" s="22"/>
      <c r="AA48" s="22"/>
      <c r="AB48" s="41"/>
      <c r="AC48" s="41"/>
      <c r="AD48" s="22"/>
      <c r="AE48" s="22"/>
      <c r="AF48" s="41"/>
      <c r="AG48" s="41"/>
      <c r="AH48" s="22"/>
      <c r="AI48" s="22"/>
      <c r="AJ48" s="48"/>
      <c r="AK48" s="48"/>
      <c r="AL48" s="23"/>
      <c r="AM48" s="9" t="s">
        <v>84</v>
      </c>
      <c r="AN48" s="24"/>
      <c r="AO48" s="53"/>
      <c r="AP48" s="53"/>
      <c r="AQ48" s="22"/>
      <c r="AR48" s="22"/>
      <c r="AS48" s="41"/>
      <c r="AT48" s="41"/>
      <c r="AU48" s="22"/>
      <c r="AV48" s="22"/>
      <c r="AW48" s="41"/>
      <c r="AX48" s="41"/>
      <c r="AY48" s="22"/>
      <c r="AZ48" s="22"/>
      <c r="BA48" s="41"/>
      <c r="BB48" s="41"/>
      <c r="BC48" s="22"/>
      <c r="BD48" s="22"/>
      <c r="BE48" s="41"/>
      <c r="BF48" s="41"/>
      <c r="BG48" s="22"/>
      <c r="BH48" s="22"/>
      <c r="BI48" s="41"/>
      <c r="BJ48" s="41"/>
      <c r="BK48" s="22"/>
      <c r="BL48" s="22"/>
      <c r="BM48" s="41"/>
      <c r="BN48" s="41"/>
      <c r="BO48" s="22"/>
      <c r="BP48" s="22"/>
      <c r="BQ48" s="41"/>
      <c r="BR48" s="41"/>
      <c r="BS48" s="22"/>
      <c r="BT48" s="22"/>
      <c r="BU48" s="48"/>
      <c r="BV48" s="48"/>
      <c r="BW48" s="23"/>
      <c r="BX48" s="11" t="s">
        <v>84</v>
      </c>
      <c r="BY48" s="11" t="s">
        <v>84</v>
      </c>
      <c r="BZ48" s="26"/>
      <c r="CA48" s="80" t="s">
        <v>1</v>
      </c>
      <c r="CB48" s="80" t="s">
        <v>85</v>
      </c>
    </row>
    <row r="49" spans="1:80">
      <c r="A49" s="143"/>
      <c r="B49" s="24" t="s">
        <v>36</v>
      </c>
      <c r="C49" s="5"/>
      <c r="D49" s="44"/>
      <c r="E49" s="44"/>
      <c r="F49" s="5"/>
      <c r="G49" s="6"/>
      <c r="H49" s="44"/>
      <c r="I49" s="44"/>
      <c r="J49" s="6"/>
      <c r="K49" s="5"/>
      <c r="L49" s="44"/>
      <c r="M49" s="44"/>
      <c r="N49" s="5"/>
      <c r="O49" s="6"/>
      <c r="P49" s="44"/>
      <c r="Q49" s="44"/>
      <c r="R49" s="6"/>
      <c r="S49" s="5"/>
      <c r="T49" s="44"/>
      <c r="U49" s="44"/>
      <c r="V49" s="5"/>
      <c r="W49" s="6"/>
      <c r="X49" s="44"/>
      <c r="Y49" s="44"/>
      <c r="Z49" s="6"/>
      <c r="AA49" s="5"/>
      <c r="AB49" s="44"/>
      <c r="AC49" s="44"/>
      <c r="AD49" s="6"/>
      <c r="AE49" s="6"/>
      <c r="AF49" s="42"/>
      <c r="AG49" s="42"/>
      <c r="AH49" s="6"/>
      <c r="AI49" s="5"/>
      <c r="AJ49" s="49"/>
      <c r="AK49" s="49"/>
      <c r="AL49" s="16"/>
      <c r="AM49" s="9">
        <f t="shared" ref="AM49:AM57" si="12">SUM(F49+J49+N49+R49+V49+Z49+AB49+AD49+AL49)</f>
        <v>0</v>
      </c>
      <c r="AN49" s="7"/>
      <c r="AO49" s="54"/>
      <c r="AP49" s="54"/>
      <c r="AQ49" s="6"/>
      <c r="AR49" s="5"/>
      <c r="AS49" s="42"/>
      <c r="AT49" s="42"/>
      <c r="AU49" s="5"/>
      <c r="AV49" s="6"/>
      <c r="AW49" s="42"/>
      <c r="AX49" s="42"/>
      <c r="AY49" s="6"/>
      <c r="AZ49" s="5"/>
      <c r="BA49" s="42"/>
      <c r="BB49" s="42"/>
      <c r="BC49" s="5"/>
      <c r="BD49" s="6"/>
      <c r="BE49" s="42"/>
      <c r="BF49" s="42"/>
      <c r="BG49" s="6"/>
      <c r="BH49" s="5"/>
      <c r="BI49" s="42"/>
      <c r="BJ49" s="42"/>
      <c r="BK49" s="5"/>
      <c r="BL49" s="6"/>
      <c r="BM49" s="42"/>
      <c r="BN49" s="42"/>
      <c r="BO49" s="6"/>
      <c r="BP49" s="5"/>
      <c r="BQ49" s="42"/>
      <c r="BR49" s="42"/>
      <c r="BS49" s="5"/>
      <c r="BT49" s="6"/>
      <c r="BU49" s="56"/>
      <c r="BV49" s="56"/>
      <c r="BW49" s="17"/>
      <c r="BX49" s="12">
        <f>SUM(AQ49+AU49+AY49+BC49+BG49+BK49+BO49+BS49+BW49)</f>
        <v>0</v>
      </c>
      <c r="BY49" s="12">
        <f>SUM(AM49+BX49)</f>
        <v>0</v>
      </c>
      <c r="BZ49" s="27"/>
      <c r="CA49" s="81">
        <f>RANK(BY49,$BY$49:$BY$57)</f>
        <v>1</v>
      </c>
      <c r="CB49" s="83"/>
    </row>
    <row r="50" spans="1:80">
      <c r="A50" s="143"/>
      <c r="B50" s="24" t="s">
        <v>88</v>
      </c>
      <c r="C50" s="5"/>
      <c r="D50" s="44"/>
      <c r="E50" s="44"/>
      <c r="F50" s="5"/>
      <c r="G50" s="6"/>
      <c r="H50" s="44"/>
      <c r="I50" s="44"/>
      <c r="J50" s="6"/>
      <c r="K50" s="5"/>
      <c r="L50" s="44"/>
      <c r="M50" s="44"/>
      <c r="N50" s="5"/>
      <c r="O50" s="6"/>
      <c r="P50" s="44"/>
      <c r="Q50" s="44"/>
      <c r="R50" s="6"/>
      <c r="S50" s="5"/>
      <c r="T50" s="44"/>
      <c r="U50" s="44"/>
      <c r="V50" s="5"/>
      <c r="W50" s="6"/>
      <c r="X50" s="44"/>
      <c r="Y50" s="44"/>
      <c r="Z50" s="6"/>
      <c r="AA50" s="5"/>
      <c r="AB50" s="44"/>
      <c r="AC50" s="44"/>
      <c r="AD50" s="6"/>
      <c r="AE50" s="6"/>
      <c r="AF50" s="42"/>
      <c r="AG50" s="42"/>
      <c r="AH50" s="6"/>
      <c r="AI50" s="5"/>
      <c r="AJ50" s="49"/>
      <c r="AK50" s="49"/>
      <c r="AL50" s="16"/>
      <c r="AM50" s="9">
        <f t="shared" si="12"/>
        <v>0</v>
      </c>
      <c r="AN50" s="7"/>
      <c r="AO50" s="54"/>
      <c r="AP50" s="54"/>
      <c r="AQ50" s="6"/>
      <c r="AR50" s="5"/>
      <c r="AS50" s="42"/>
      <c r="AT50" s="42"/>
      <c r="AU50" s="5"/>
      <c r="AV50" s="6"/>
      <c r="AW50" s="42"/>
      <c r="AX50" s="42"/>
      <c r="AY50" s="6"/>
      <c r="AZ50" s="5"/>
      <c r="BA50" s="42"/>
      <c r="BB50" s="42"/>
      <c r="BC50" s="5"/>
      <c r="BD50" s="6"/>
      <c r="BE50" s="42"/>
      <c r="BF50" s="42"/>
      <c r="BG50" s="6"/>
      <c r="BH50" s="5"/>
      <c r="BI50" s="42"/>
      <c r="BJ50" s="42"/>
      <c r="BK50" s="5"/>
      <c r="BL50" s="6"/>
      <c r="BM50" s="42"/>
      <c r="BN50" s="42"/>
      <c r="BO50" s="6"/>
      <c r="BP50" s="5"/>
      <c r="BQ50" s="42"/>
      <c r="BR50" s="42"/>
      <c r="BS50" s="5"/>
      <c r="BT50" s="6"/>
      <c r="BU50" s="56"/>
      <c r="BV50" s="56"/>
      <c r="BW50" s="17"/>
      <c r="BX50" s="12">
        <f t="shared" ref="BX50:BX57" si="13">SUM(AQ50+AU50+AY50+BC50+BG50+BK50+BO50+BS50+BW50)</f>
        <v>0</v>
      </c>
      <c r="BY50" s="12">
        <f t="shared" ref="BY50:BY57" si="14">SUM(AM50+BX50)</f>
        <v>0</v>
      </c>
      <c r="BZ50" s="28"/>
      <c r="CA50" s="81">
        <f t="shared" ref="CA50:CA57" si="15">RANK(BY50,$BY$49:$BY$57)</f>
        <v>1</v>
      </c>
      <c r="CB50" s="83"/>
    </row>
    <row r="51" spans="1:80">
      <c r="A51" s="143"/>
      <c r="B51" s="24" t="s">
        <v>89</v>
      </c>
      <c r="C51" s="5"/>
      <c r="D51" s="44"/>
      <c r="E51" s="44"/>
      <c r="F51" s="5"/>
      <c r="G51" s="6"/>
      <c r="H51" s="44"/>
      <c r="I51" s="44"/>
      <c r="J51" s="6"/>
      <c r="K51" s="5"/>
      <c r="L51" s="44"/>
      <c r="M51" s="44"/>
      <c r="N51" s="5"/>
      <c r="O51" s="6"/>
      <c r="P51" s="44"/>
      <c r="Q51" s="44"/>
      <c r="R51" s="6"/>
      <c r="S51" s="5"/>
      <c r="T51" s="44"/>
      <c r="U51" s="44"/>
      <c r="V51" s="5"/>
      <c r="W51" s="6"/>
      <c r="X51" s="44"/>
      <c r="Y51" s="44"/>
      <c r="Z51" s="6"/>
      <c r="AA51" s="5"/>
      <c r="AB51" s="44"/>
      <c r="AC51" s="44"/>
      <c r="AD51" s="6"/>
      <c r="AE51" s="6"/>
      <c r="AF51" s="42"/>
      <c r="AG51" s="42"/>
      <c r="AH51" s="6"/>
      <c r="AI51" s="5"/>
      <c r="AJ51" s="49"/>
      <c r="AK51" s="49"/>
      <c r="AL51" s="16"/>
      <c r="AM51" s="9">
        <f t="shared" si="12"/>
        <v>0</v>
      </c>
      <c r="AN51" s="7"/>
      <c r="AO51" s="54"/>
      <c r="AP51" s="54"/>
      <c r="AQ51" s="6"/>
      <c r="AR51" s="5"/>
      <c r="AS51" s="42"/>
      <c r="AT51" s="42"/>
      <c r="AU51" s="5"/>
      <c r="AV51" s="6"/>
      <c r="AW51" s="42"/>
      <c r="AX51" s="42"/>
      <c r="AY51" s="6"/>
      <c r="AZ51" s="5"/>
      <c r="BA51" s="42"/>
      <c r="BB51" s="42"/>
      <c r="BC51" s="5"/>
      <c r="BD51" s="6"/>
      <c r="BE51" s="42"/>
      <c r="BF51" s="42"/>
      <c r="BG51" s="6"/>
      <c r="BH51" s="5"/>
      <c r="BI51" s="42"/>
      <c r="BJ51" s="42"/>
      <c r="BK51" s="5"/>
      <c r="BL51" s="6"/>
      <c r="BM51" s="42"/>
      <c r="BN51" s="42"/>
      <c r="BO51" s="6"/>
      <c r="BP51" s="5"/>
      <c r="BQ51" s="42"/>
      <c r="BR51" s="42"/>
      <c r="BS51" s="5"/>
      <c r="BT51" s="6"/>
      <c r="BU51" s="56"/>
      <c r="BV51" s="56"/>
      <c r="BW51" s="17"/>
      <c r="BX51" s="12">
        <f t="shared" si="13"/>
        <v>0</v>
      </c>
      <c r="BY51" s="12">
        <f t="shared" si="14"/>
        <v>0</v>
      </c>
      <c r="BZ51" s="28"/>
      <c r="CA51" s="81">
        <f t="shared" si="15"/>
        <v>1</v>
      </c>
      <c r="CB51" s="83"/>
    </row>
    <row r="52" spans="1:80">
      <c r="A52" s="143"/>
      <c r="B52" s="24" t="s">
        <v>16</v>
      </c>
      <c r="C52" s="5"/>
      <c r="D52" s="44"/>
      <c r="E52" s="44"/>
      <c r="F52" s="5"/>
      <c r="G52" s="6"/>
      <c r="H52" s="44"/>
      <c r="I52" s="44"/>
      <c r="J52" s="6"/>
      <c r="K52" s="5"/>
      <c r="L52" s="44"/>
      <c r="M52" s="44"/>
      <c r="N52" s="5"/>
      <c r="O52" s="6"/>
      <c r="P52" s="44"/>
      <c r="Q52" s="44"/>
      <c r="R52" s="6"/>
      <c r="S52" s="5"/>
      <c r="T52" s="44"/>
      <c r="U52" s="44"/>
      <c r="V52" s="5"/>
      <c r="W52" s="6"/>
      <c r="X52" s="44"/>
      <c r="Y52" s="44"/>
      <c r="Z52" s="6"/>
      <c r="AA52" s="5"/>
      <c r="AB52" s="44"/>
      <c r="AC52" s="44"/>
      <c r="AD52" s="6"/>
      <c r="AE52" s="6"/>
      <c r="AF52" s="42"/>
      <c r="AG52" s="42"/>
      <c r="AH52" s="6"/>
      <c r="AI52" s="5"/>
      <c r="AJ52" s="49"/>
      <c r="AK52" s="49"/>
      <c r="AL52" s="16"/>
      <c r="AM52" s="9">
        <f t="shared" si="12"/>
        <v>0</v>
      </c>
      <c r="AN52" s="7"/>
      <c r="AO52" s="54"/>
      <c r="AP52" s="54"/>
      <c r="AQ52" s="6"/>
      <c r="AR52" s="5"/>
      <c r="AS52" s="42"/>
      <c r="AT52" s="42"/>
      <c r="AU52" s="5"/>
      <c r="AV52" s="6"/>
      <c r="AW52" s="42"/>
      <c r="AX52" s="42"/>
      <c r="AY52" s="6"/>
      <c r="AZ52" s="5"/>
      <c r="BA52" s="42"/>
      <c r="BB52" s="42"/>
      <c r="BC52" s="5"/>
      <c r="BD52" s="6"/>
      <c r="BE52" s="42"/>
      <c r="BF52" s="42"/>
      <c r="BG52" s="6"/>
      <c r="BH52" s="5"/>
      <c r="BI52" s="42"/>
      <c r="BJ52" s="42"/>
      <c r="BK52" s="5"/>
      <c r="BL52" s="6"/>
      <c r="BM52" s="42"/>
      <c r="BN52" s="42"/>
      <c r="BO52" s="6"/>
      <c r="BP52" s="5"/>
      <c r="BQ52" s="42"/>
      <c r="BR52" s="42"/>
      <c r="BS52" s="5"/>
      <c r="BT52" s="6"/>
      <c r="BU52" s="56"/>
      <c r="BV52" s="56"/>
      <c r="BW52" s="17"/>
      <c r="BX52" s="12">
        <f t="shared" si="13"/>
        <v>0</v>
      </c>
      <c r="BY52" s="12">
        <f t="shared" si="14"/>
        <v>0</v>
      </c>
      <c r="BZ52" s="28"/>
      <c r="CA52" s="81">
        <f t="shared" si="15"/>
        <v>1</v>
      </c>
      <c r="CB52" s="83"/>
    </row>
    <row r="53" spans="1:80">
      <c r="A53" s="143"/>
      <c r="B53" s="24" t="s">
        <v>18</v>
      </c>
      <c r="C53" s="5"/>
      <c r="D53" s="44"/>
      <c r="E53" s="44"/>
      <c r="F53" s="5"/>
      <c r="G53" s="6"/>
      <c r="H53" s="44"/>
      <c r="I53" s="44"/>
      <c r="J53" s="6"/>
      <c r="K53" s="5"/>
      <c r="L53" s="44"/>
      <c r="M53" s="44"/>
      <c r="N53" s="5"/>
      <c r="O53" s="6"/>
      <c r="P53" s="44"/>
      <c r="Q53" s="44"/>
      <c r="R53" s="6"/>
      <c r="S53" s="5"/>
      <c r="T53" s="44"/>
      <c r="U53" s="44"/>
      <c r="V53" s="5"/>
      <c r="W53" s="6"/>
      <c r="X53" s="44"/>
      <c r="Y53" s="44"/>
      <c r="Z53" s="6"/>
      <c r="AA53" s="5"/>
      <c r="AB53" s="44"/>
      <c r="AC53" s="44"/>
      <c r="AD53" s="6"/>
      <c r="AE53" s="6"/>
      <c r="AF53" s="42"/>
      <c r="AG53" s="42"/>
      <c r="AH53" s="6"/>
      <c r="AI53" s="5"/>
      <c r="AJ53" s="49"/>
      <c r="AK53" s="49"/>
      <c r="AL53" s="16"/>
      <c r="AM53" s="9">
        <f t="shared" si="12"/>
        <v>0</v>
      </c>
      <c r="AN53" s="7"/>
      <c r="AO53" s="54"/>
      <c r="AP53" s="54"/>
      <c r="AQ53" s="6"/>
      <c r="AR53" s="5"/>
      <c r="AS53" s="42"/>
      <c r="AT53" s="42"/>
      <c r="AU53" s="5"/>
      <c r="AV53" s="6"/>
      <c r="AW53" s="42"/>
      <c r="AX53" s="42"/>
      <c r="AY53" s="6"/>
      <c r="AZ53" s="5"/>
      <c r="BA53" s="42"/>
      <c r="BB53" s="42"/>
      <c r="BC53" s="5"/>
      <c r="BD53" s="6"/>
      <c r="BE53" s="42"/>
      <c r="BF53" s="42"/>
      <c r="BG53" s="6"/>
      <c r="BH53" s="5"/>
      <c r="BI53" s="42"/>
      <c r="BJ53" s="42"/>
      <c r="BK53" s="5"/>
      <c r="BL53" s="6"/>
      <c r="BM53" s="42"/>
      <c r="BN53" s="42"/>
      <c r="BO53" s="6"/>
      <c r="BP53" s="5"/>
      <c r="BQ53" s="42"/>
      <c r="BR53" s="42"/>
      <c r="BS53" s="5"/>
      <c r="BT53" s="6"/>
      <c r="BU53" s="56"/>
      <c r="BV53" s="56"/>
      <c r="BW53" s="17"/>
      <c r="BX53" s="12">
        <f t="shared" si="13"/>
        <v>0</v>
      </c>
      <c r="BY53" s="12">
        <f t="shared" si="14"/>
        <v>0</v>
      </c>
      <c r="BZ53" s="28"/>
      <c r="CA53" s="81">
        <f t="shared" si="15"/>
        <v>1</v>
      </c>
      <c r="CB53" s="83"/>
    </row>
    <row r="54" spans="1:80">
      <c r="A54" s="143"/>
      <c r="B54" s="24" t="s">
        <v>40</v>
      </c>
      <c r="C54" s="5"/>
      <c r="D54" s="44"/>
      <c r="E54" s="44"/>
      <c r="F54" s="5"/>
      <c r="G54" s="6"/>
      <c r="H54" s="44"/>
      <c r="I54" s="44"/>
      <c r="J54" s="6"/>
      <c r="K54" s="5"/>
      <c r="L54" s="44"/>
      <c r="M54" s="44"/>
      <c r="N54" s="5"/>
      <c r="O54" s="6"/>
      <c r="P54" s="44"/>
      <c r="Q54" s="44"/>
      <c r="R54" s="6"/>
      <c r="S54" s="5"/>
      <c r="T54" s="44"/>
      <c r="U54" s="44"/>
      <c r="V54" s="5"/>
      <c r="W54" s="6"/>
      <c r="X54" s="44"/>
      <c r="Y54" s="44"/>
      <c r="Z54" s="6"/>
      <c r="AA54" s="5"/>
      <c r="AB54" s="44"/>
      <c r="AC54" s="44"/>
      <c r="AD54" s="6"/>
      <c r="AE54" s="6"/>
      <c r="AF54" s="42"/>
      <c r="AG54" s="42"/>
      <c r="AH54" s="6"/>
      <c r="AI54" s="5"/>
      <c r="AJ54" s="49"/>
      <c r="AK54" s="49"/>
      <c r="AL54" s="16"/>
      <c r="AM54" s="9">
        <f t="shared" si="12"/>
        <v>0</v>
      </c>
      <c r="AN54" s="7"/>
      <c r="AO54" s="54"/>
      <c r="AP54" s="54"/>
      <c r="AQ54" s="6"/>
      <c r="AR54" s="5"/>
      <c r="AS54" s="42"/>
      <c r="AT54" s="42"/>
      <c r="AU54" s="5"/>
      <c r="AV54" s="6"/>
      <c r="AW54" s="42"/>
      <c r="AX54" s="42"/>
      <c r="AY54" s="6"/>
      <c r="AZ54" s="5"/>
      <c r="BA54" s="42"/>
      <c r="BB54" s="42"/>
      <c r="BC54" s="5"/>
      <c r="BD54" s="6"/>
      <c r="BE54" s="42"/>
      <c r="BF54" s="42"/>
      <c r="BG54" s="6"/>
      <c r="BH54" s="5"/>
      <c r="BI54" s="42"/>
      <c r="BJ54" s="42"/>
      <c r="BK54" s="5"/>
      <c r="BL54" s="6"/>
      <c r="BM54" s="42"/>
      <c r="BN54" s="42"/>
      <c r="BO54" s="6"/>
      <c r="BP54" s="5"/>
      <c r="BQ54" s="42"/>
      <c r="BR54" s="42"/>
      <c r="BS54" s="5"/>
      <c r="BT54" s="6"/>
      <c r="BU54" s="56"/>
      <c r="BV54" s="56"/>
      <c r="BW54" s="17"/>
      <c r="BX54" s="12">
        <f t="shared" si="13"/>
        <v>0</v>
      </c>
      <c r="BY54" s="12">
        <f t="shared" si="14"/>
        <v>0</v>
      </c>
      <c r="BZ54" s="28"/>
      <c r="CA54" s="81">
        <f t="shared" si="15"/>
        <v>1</v>
      </c>
      <c r="CB54" s="83"/>
    </row>
    <row r="55" spans="1:80">
      <c r="A55" s="143"/>
      <c r="B55" s="24" t="s">
        <v>34</v>
      </c>
      <c r="C55" s="5"/>
      <c r="D55" s="44"/>
      <c r="E55" s="44"/>
      <c r="F55" s="5"/>
      <c r="G55" s="6"/>
      <c r="H55" s="44"/>
      <c r="I55" s="44"/>
      <c r="J55" s="6"/>
      <c r="K55" s="5"/>
      <c r="L55" s="44"/>
      <c r="M55" s="44"/>
      <c r="N55" s="5"/>
      <c r="O55" s="6"/>
      <c r="P55" s="44"/>
      <c r="Q55" s="44"/>
      <c r="R55" s="6"/>
      <c r="S55" s="5"/>
      <c r="T55" s="44"/>
      <c r="U55" s="44"/>
      <c r="V55" s="5"/>
      <c r="W55" s="6"/>
      <c r="X55" s="44"/>
      <c r="Y55" s="44"/>
      <c r="Z55" s="6"/>
      <c r="AA55" s="5"/>
      <c r="AB55" s="44"/>
      <c r="AC55" s="44"/>
      <c r="AD55" s="6"/>
      <c r="AE55" s="6"/>
      <c r="AF55" s="42"/>
      <c r="AG55" s="42"/>
      <c r="AH55" s="6"/>
      <c r="AI55" s="5"/>
      <c r="AJ55" s="49"/>
      <c r="AK55" s="49"/>
      <c r="AL55" s="16"/>
      <c r="AM55" s="9">
        <f t="shared" si="12"/>
        <v>0</v>
      </c>
      <c r="AN55" s="7"/>
      <c r="AO55" s="54"/>
      <c r="AP55" s="54"/>
      <c r="AQ55" s="6"/>
      <c r="AR55" s="5"/>
      <c r="AS55" s="42"/>
      <c r="AT55" s="42"/>
      <c r="AU55" s="5"/>
      <c r="AV55" s="6"/>
      <c r="AW55" s="42"/>
      <c r="AX55" s="42"/>
      <c r="AY55" s="6"/>
      <c r="AZ55" s="5"/>
      <c r="BA55" s="42"/>
      <c r="BB55" s="42"/>
      <c r="BC55" s="5"/>
      <c r="BD55" s="6"/>
      <c r="BE55" s="42"/>
      <c r="BF55" s="42"/>
      <c r="BG55" s="6"/>
      <c r="BH55" s="5"/>
      <c r="BI55" s="42"/>
      <c r="BJ55" s="42"/>
      <c r="BK55" s="5"/>
      <c r="BL55" s="6"/>
      <c r="BM55" s="42"/>
      <c r="BN55" s="42"/>
      <c r="BO55" s="6"/>
      <c r="BP55" s="5"/>
      <c r="BQ55" s="42"/>
      <c r="BR55" s="42"/>
      <c r="BS55" s="5"/>
      <c r="BT55" s="6"/>
      <c r="BU55" s="56"/>
      <c r="BV55" s="56"/>
      <c r="BW55" s="17"/>
      <c r="BX55" s="12">
        <f t="shared" si="13"/>
        <v>0</v>
      </c>
      <c r="BY55" s="12">
        <f t="shared" si="14"/>
        <v>0</v>
      </c>
      <c r="BZ55" s="28"/>
      <c r="CA55" s="81">
        <f t="shared" si="15"/>
        <v>1</v>
      </c>
      <c r="CB55" s="83"/>
    </row>
    <row r="56" spans="1:80">
      <c r="A56" s="143"/>
      <c r="B56" s="24" t="s">
        <v>92</v>
      </c>
      <c r="C56" s="5"/>
      <c r="D56" s="44"/>
      <c r="E56" s="44"/>
      <c r="F56" s="5"/>
      <c r="G56" s="6"/>
      <c r="H56" s="44"/>
      <c r="I56" s="44"/>
      <c r="J56" s="6"/>
      <c r="K56" s="5"/>
      <c r="L56" s="44"/>
      <c r="M56" s="44"/>
      <c r="N56" s="5"/>
      <c r="O56" s="6"/>
      <c r="P56" s="44"/>
      <c r="Q56" s="44"/>
      <c r="R56" s="6"/>
      <c r="S56" s="5"/>
      <c r="T56" s="44"/>
      <c r="U56" s="44"/>
      <c r="V56" s="5"/>
      <c r="W56" s="6"/>
      <c r="X56" s="44"/>
      <c r="Y56" s="44"/>
      <c r="Z56" s="6"/>
      <c r="AA56" s="5"/>
      <c r="AB56" s="44"/>
      <c r="AC56" s="44"/>
      <c r="AD56" s="6"/>
      <c r="AE56" s="6"/>
      <c r="AF56" s="42"/>
      <c r="AG56" s="42"/>
      <c r="AH56" s="6"/>
      <c r="AI56" s="5"/>
      <c r="AJ56" s="49"/>
      <c r="AK56" s="49"/>
      <c r="AL56" s="16"/>
      <c r="AM56" s="9">
        <f t="shared" si="12"/>
        <v>0</v>
      </c>
      <c r="AN56" s="7"/>
      <c r="AO56" s="54"/>
      <c r="AP56" s="54"/>
      <c r="AQ56" s="6"/>
      <c r="AR56" s="5"/>
      <c r="AS56" s="42"/>
      <c r="AT56" s="42"/>
      <c r="AU56" s="5"/>
      <c r="AV56" s="6"/>
      <c r="AW56" s="42"/>
      <c r="AX56" s="42"/>
      <c r="AY56" s="6"/>
      <c r="AZ56" s="5"/>
      <c r="BA56" s="42"/>
      <c r="BB56" s="42"/>
      <c r="BC56" s="5"/>
      <c r="BD56" s="6"/>
      <c r="BE56" s="42"/>
      <c r="BF56" s="42"/>
      <c r="BG56" s="6"/>
      <c r="BH56" s="5"/>
      <c r="BI56" s="42"/>
      <c r="BJ56" s="42"/>
      <c r="BK56" s="5"/>
      <c r="BL56" s="6"/>
      <c r="BM56" s="42"/>
      <c r="BN56" s="42"/>
      <c r="BO56" s="6"/>
      <c r="BP56" s="5"/>
      <c r="BQ56" s="42"/>
      <c r="BR56" s="42"/>
      <c r="BS56" s="5"/>
      <c r="BT56" s="6"/>
      <c r="BU56" s="56"/>
      <c r="BV56" s="56"/>
      <c r="BW56" s="17"/>
      <c r="BX56" s="12">
        <f t="shared" si="13"/>
        <v>0</v>
      </c>
      <c r="BY56" s="12">
        <f t="shared" si="14"/>
        <v>0</v>
      </c>
      <c r="BZ56" s="28"/>
      <c r="CA56" s="81">
        <f t="shared" si="15"/>
        <v>1</v>
      </c>
      <c r="CB56" s="83"/>
    </row>
    <row r="57" spans="1:80">
      <c r="A57" s="143"/>
      <c r="B57" s="86" t="s">
        <v>14</v>
      </c>
      <c r="C57" s="3"/>
      <c r="D57" s="44"/>
      <c r="E57" s="44"/>
      <c r="F57" s="5"/>
      <c r="G57" s="4"/>
      <c r="H57" s="46"/>
      <c r="I57" s="46"/>
      <c r="J57" s="4"/>
      <c r="K57" s="3"/>
      <c r="L57" s="46"/>
      <c r="M57" s="46"/>
      <c r="N57" s="3"/>
      <c r="O57" s="4"/>
      <c r="P57" s="46"/>
      <c r="Q57" s="46"/>
      <c r="R57" s="4"/>
      <c r="S57" s="3"/>
      <c r="T57" s="46"/>
      <c r="U57" s="46"/>
      <c r="V57" s="3"/>
      <c r="W57" s="4"/>
      <c r="X57" s="46"/>
      <c r="Y57" s="46"/>
      <c r="Z57" s="4"/>
      <c r="AA57" s="3"/>
      <c r="AB57" s="46"/>
      <c r="AC57" s="46"/>
      <c r="AD57" s="4"/>
      <c r="AE57" s="4"/>
      <c r="AF57" s="47"/>
      <c r="AG57" s="47"/>
      <c r="AH57" s="4"/>
      <c r="AI57" s="3"/>
      <c r="AJ57" s="50"/>
      <c r="AK57" s="50"/>
      <c r="AL57" s="18"/>
      <c r="AM57" s="9">
        <f t="shared" si="12"/>
        <v>0</v>
      </c>
      <c r="AN57" s="8"/>
      <c r="AO57" s="55"/>
      <c r="AP57" s="55"/>
      <c r="AQ57" s="4"/>
      <c r="AR57" s="3"/>
      <c r="AS57" s="47"/>
      <c r="AT57" s="47"/>
      <c r="AU57" s="3"/>
      <c r="AV57" s="4"/>
      <c r="AW57" s="47"/>
      <c r="AX57" s="47"/>
      <c r="AY57" s="4"/>
      <c r="AZ57" s="3"/>
      <c r="BA57" s="47"/>
      <c r="BB57" s="47"/>
      <c r="BC57" s="3"/>
      <c r="BD57" s="4"/>
      <c r="BE57" s="47"/>
      <c r="BF57" s="47"/>
      <c r="BG57" s="4"/>
      <c r="BH57" s="3"/>
      <c r="BI57" s="47"/>
      <c r="BJ57" s="47"/>
      <c r="BK57" s="3"/>
      <c r="BL57" s="4"/>
      <c r="BM57" s="47"/>
      <c r="BN57" s="47"/>
      <c r="BO57" s="4"/>
      <c r="BP57" s="3"/>
      <c r="BQ57" s="47"/>
      <c r="BR57" s="47"/>
      <c r="BS57" s="3"/>
      <c r="BT57" s="4"/>
      <c r="BU57" s="57"/>
      <c r="BV57" s="57"/>
      <c r="BW57" s="19"/>
      <c r="BX57" s="12">
        <f t="shared" si="13"/>
        <v>0</v>
      </c>
      <c r="BY57" s="12">
        <f t="shared" si="14"/>
        <v>0</v>
      </c>
      <c r="BZ57" s="28"/>
      <c r="CA57" s="81">
        <f t="shared" si="15"/>
        <v>1</v>
      </c>
      <c r="CB57" s="83"/>
    </row>
    <row r="58" spans="1:80">
      <c r="A58" s="143"/>
      <c r="B58" s="20"/>
      <c r="C58" s="20"/>
      <c r="D58" s="45"/>
      <c r="E58" s="45"/>
      <c r="F58" s="20"/>
      <c r="G58" s="20"/>
      <c r="H58" s="45"/>
      <c r="I58" s="45"/>
      <c r="J58" s="20"/>
      <c r="K58" s="20"/>
      <c r="L58" s="45"/>
      <c r="M58" s="45"/>
      <c r="N58" s="20"/>
      <c r="O58" s="20"/>
      <c r="P58" s="45"/>
      <c r="Q58" s="45"/>
      <c r="R58" s="20"/>
      <c r="S58" s="20"/>
      <c r="T58" s="45"/>
      <c r="U58" s="45"/>
      <c r="V58" s="20"/>
      <c r="W58" s="20"/>
      <c r="X58" s="45"/>
      <c r="Y58" s="45"/>
      <c r="Z58" s="20"/>
      <c r="AA58" s="20"/>
      <c r="AB58" s="45"/>
      <c r="AC58" s="45"/>
      <c r="AD58" s="20"/>
      <c r="AE58" s="20"/>
      <c r="AF58" s="43"/>
      <c r="AG58" s="43"/>
      <c r="AH58" s="20"/>
      <c r="AI58" s="20"/>
      <c r="AJ58" s="45"/>
      <c r="AK58" s="45"/>
      <c r="AL58" s="20"/>
      <c r="AM58" s="20"/>
      <c r="AN58" s="20"/>
      <c r="AO58" s="43"/>
      <c r="AP58" s="43"/>
      <c r="AQ58" s="20"/>
      <c r="AR58" s="20"/>
      <c r="AS58" s="43"/>
      <c r="AT58" s="43"/>
      <c r="AU58" s="20"/>
      <c r="AV58" s="20"/>
      <c r="AW58" s="43"/>
      <c r="AX58" s="43"/>
      <c r="AY58" s="20"/>
      <c r="AZ58" s="20"/>
      <c r="BA58" s="43"/>
      <c r="BB58" s="43"/>
      <c r="BC58" s="20"/>
      <c r="BD58" s="20"/>
      <c r="BE58" s="43"/>
      <c r="BF58" s="43"/>
      <c r="BG58" s="20"/>
      <c r="BH58" s="20"/>
      <c r="BI58" s="43"/>
      <c r="BJ58" s="43"/>
      <c r="BK58" s="20"/>
      <c r="BL58" s="20"/>
      <c r="BM58" s="43"/>
      <c r="BN58" s="43"/>
      <c r="BO58" s="20"/>
      <c r="BP58" s="20"/>
      <c r="BQ58" s="43"/>
      <c r="BR58" s="43"/>
      <c r="BS58" s="20"/>
      <c r="BT58" s="20"/>
      <c r="BU58" s="43"/>
      <c r="BV58" s="43"/>
      <c r="BW58" s="20"/>
      <c r="BX58" s="20"/>
      <c r="BY58" s="20"/>
      <c r="BZ58" s="32"/>
      <c r="CA58" s="32"/>
      <c r="CB58" s="32"/>
    </row>
    <row r="61" spans="1:80" ht="30">
      <c r="A61" s="142" t="s">
        <v>98</v>
      </c>
      <c r="B61" s="24" t="s">
        <v>99</v>
      </c>
      <c r="C61" s="22">
        <v>1</v>
      </c>
      <c r="D61" s="41"/>
      <c r="E61" s="41"/>
      <c r="F61" s="36" t="s">
        <v>60</v>
      </c>
      <c r="G61" s="22">
        <v>2</v>
      </c>
      <c r="H61" s="41"/>
      <c r="I61" s="41"/>
      <c r="J61" s="36" t="s">
        <v>61</v>
      </c>
      <c r="K61" s="22">
        <v>3</v>
      </c>
      <c r="L61" s="41"/>
      <c r="M61" s="41"/>
      <c r="N61" s="36" t="s">
        <v>62</v>
      </c>
      <c r="O61" s="22">
        <v>4</v>
      </c>
      <c r="P61" s="41"/>
      <c r="Q61" s="41"/>
      <c r="R61" s="36" t="s">
        <v>63</v>
      </c>
      <c r="S61" s="22">
        <v>5</v>
      </c>
      <c r="T61" s="41"/>
      <c r="U61" s="41"/>
      <c r="V61" s="36" t="s">
        <v>64</v>
      </c>
      <c r="W61" s="22">
        <v>6</v>
      </c>
      <c r="X61" s="41"/>
      <c r="Y61" s="41"/>
      <c r="Z61" s="36" t="s">
        <v>65</v>
      </c>
      <c r="AA61" s="22">
        <v>7</v>
      </c>
      <c r="AB61" s="41"/>
      <c r="AC61" s="41"/>
      <c r="AD61" s="36" t="s">
        <v>66</v>
      </c>
      <c r="AE61" s="22">
        <v>8</v>
      </c>
      <c r="AF61" s="51"/>
      <c r="AG61" s="51"/>
      <c r="AH61" s="36"/>
      <c r="AI61" s="22">
        <v>9</v>
      </c>
      <c r="AJ61" s="48"/>
      <c r="AK61" s="48"/>
      <c r="AL61" s="37" t="s">
        <v>67</v>
      </c>
      <c r="AM61" s="9" t="s">
        <v>56</v>
      </c>
      <c r="AN61" s="24">
        <v>10</v>
      </c>
      <c r="AO61" s="53"/>
      <c r="AP61" s="53"/>
      <c r="AQ61" s="36" t="s">
        <v>68</v>
      </c>
      <c r="AR61" s="22">
        <v>11</v>
      </c>
      <c r="AS61" s="41"/>
      <c r="AT61" s="41"/>
      <c r="AU61" s="36" t="s">
        <v>69</v>
      </c>
      <c r="AV61" s="22">
        <v>12</v>
      </c>
      <c r="AW61" s="41"/>
      <c r="AX61" s="41"/>
      <c r="AY61" s="36" t="s">
        <v>70</v>
      </c>
      <c r="AZ61" s="22">
        <v>13</v>
      </c>
      <c r="BA61" s="41"/>
      <c r="BB61" s="41"/>
      <c r="BC61" s="36" t="s">
        <v>71</v>
      </c>
      <c r="BD61" s="22">
        <v>14</v>
      </c>
      <c r="BE61" s="41"/>
      <c r="BF61" s="41"/>
      <c r="BG61" s="36" t="s">
        <v>72</v>
      </c>
      <c r="BH61" s="22">
        <v>15</v>
      </c>
      <c r="BI61" s="41"/>
      <c r="BJ61" s="41"/>
      <c r="BK61" s="36" t="s">
        <v>73</v>
      </c>
      <c r="BL61" s="22">
        <v>16</v>
      </c>
      <c r="BM61" s="41"/>
      <c r="BN61" s="41"/>
      <c r="BO61" s="36" t="s">
        <v>74</v>
      </c>
      <c r="BP61" s="22">
        <v>17</v>
      </c>
      <c r="BQ61" s="41"/>
      <c r="BR61" s="41"/>
      <c r="BS61" s="36" t="s">
        <v>75</v>
      </c>
      <c r="BT61" s="22">
        <v>18</v>
      </c>
      <c r="BU61" s="48"/>
      <c r="BV61" s="48"/>
      <c r="BW61" s="37" t="s">
        <v>76</v>
      </c>
      <c r="BX61" s="23" t="s">
        <v>57</v>
      </c>
      <c r="BY61" s="12" t="s">
        <v>0</v>
      </c>
      <c r="BZ61" s="34" t="s">
        <v>77</v>
      </c>
      <c r="CA61" s="35" t="s">
        <v>1</v>
      </c>
      <c r="CB61" s="82"/>
    </row>
    <row r="62" spans="1:80">
      <c r="A62" s="143"/>
      <c r="B62" s="86" t="s">
        <v>52</v>
      </c>
      <c r="C62" s="22"/>
      <c r="D62" s="41"/>
      <c r="E62" s="41"/>
      <c r="F62" s="22"/>
      <c r="G62" s="22"/>
      <c r="H62" s="41"/>
      <c r="I62" s="41"/>
      <c r="J62" s="22"/>
      <c r="K62" s="22"/>
      <c r="L62" s="41"/>
      <c r="M62" s="41"/>
      <c r="N62" s="22"/>
      <c r="O62" s="22"/>
      <c r="P62" s="41"/>
      <c r="Q62" s="41"/>
      <c r="R62" s="22"/>
      <c r="S62" s="22"/>
      <c r="T62" s="41"/>
      <c r="U62" s="41"/>
      <c r="V62" s="22"/>
      <c r="W62" s="22"/>
      <c r="X62" s="41"/>
      <c r="Y62" s="41"/>
      <c r="Z62" s="22"/>
      <c r="AA62" s="22"/>
      <c r="AB62" s="41"/>
      <c r="AC62" s="41"/>
      <c r="AD62" s="22"/>
      <c r="AE62" s="22"/>
      <c r="AF62" s="41"/>
      <c r="AG62" s="41"/>
      <c r="AH62" s="22"/>
      <c r="AI62" s="22"/>
      <c r="AJ62" s="48"/>
      <c r="AK62" s="48"/>
      <c r="AL62" s="23"/>
      <c r="AM62" s="9">
        <f>SUM(C62:AL62)</f>
        <v>0</v>
      </c>
      <c r="AN62" s="24"/>
      <c r="AO62" s="53"/>
      <c r="AP62" s="53"/>
      <c r="AQ62" s="22"/>
      <c r="AR62" s="22"/>
      <c r="AS62" s="41"/>
      <c r="AT62" s="41"/>
      <c r="AU62" s="22"/>
      <c r="AV62" s="22"/>
      <c r="AW62" s="41"/>
      <c r="AX62" s="41"/>
      <c r="AY62" s="22"/>
      <c r="AZ62" s="22"/>
      <c r="BA62" s="41"/>
      <c r="BB62" s="41"/>
      <c r="BC62" s="22"/>
      <c r="BD62" s="22"/>
      <c r="BE62" s="41"/>
      <c r="BF62" s="41"/>
      <c r="BG62" s="22"/>
      <c r="BH62" s="22"/>
      <c r="BI62" s="41"/>
      <c r="BJ62" s="41"/>
      <c r="BK62" s="22"/>
      <c r="BL62" s="22"/>
      <c r="BM62" s="41"/>
      <c r="BN62" s="41"/>
      <c r="BO62" s="22"/>
      <c r="BP62" s="22"/>
      <c r="BQ62" s="41"/>
      <c r="BR62" s="41"/>
      <c r="BS62" s="22"/>
      <c r="BT62" s="22"/>
      <c r="BU62" s="48"/>
      <c r="BV62" s="48"/>
      <c r="BW62" s="23"/>
      <c r="BX62" s="10">
        <f>SUM(AN62:BW62)</f>
        <v>0</v>
      </c>
      <c r="BY62" s="10">
        <f>SUM(AM62+BX62)</f>
        <v>0</v>
      </c>
      <c r="BZ62" s="25" t="s">
        <v>81</v>
      </c>
      <c r="CA62" s="33"/>
      <c r="CB62" s="82"/>
    </row>
    <row r="63" spans="1:80">
      <c r="A63" s="143"/>
      <c r="B63" s="87" t="s">
        <v>83</v>
      </c>
      <c r="C63" s="22"/>
      <c r="D63" s="41"/>
      <c r="E63" s="41"/>
      <c r="F63" s="22"/>
      <c r="G63" s="22"/>
      <c r="H63" s="41"/>
      <c r="I63" s="41"/>
      <c r="J63" s="22"/>
      <c r="K63" s="22"/>
      <c r="L63" s="41"/>
      <c r="M63" s="41"/>
      <c r="N63" s="22"/>
      <c r="O63" s="22"/>
      <c r="P63" s="41"/>
      <c r="Q63" s="41"/>
      <c r="R63" s="22"/>
      <c r="S63" s="22"/>
      <c r="T63" s="41"/>
      <c r="U63" s="41"/>
      <c r="V63" s="22"/>
      <c r="W63" s="22"/>
      <c r="X63" s="41"/>
      <c r="Y63" s="41"/>
      <c r="Z63" s="22"/>
      <c r="AA63" s="22"/>
      <c r="AB63" s="41"/>
      <c r="AC63" s="41"/>
      <c r="AD63" s="22"/>
      <c r="AE63" s="22"/>
      <c r="AF63" s="41"/>
      <c r="AG63" s="41"/>
      <c r="AH63" s="22"/>
      <c r="AI63" s="22"/>
      <c r="AJ63" s="48"/>
      <c r="AK63" s="48"/>
      <c r="AL63" s="23"/>
      <c r="AM63" s="9" t="s">
        <v>84</v>
      </c>
      <c r="AN63" s="24"/>
      <c r="AO63" s="53"/>
      <c r="AP63" s="53"/>
      <c r="AQ63" s="22"/>
      <c r="AR63" s="22"/>
      <c r="AS63" s="41"/>
      <c r="AT63" s="41"/>
      <c r="AU63" s="22"/>
      <c r="AV63" s="22"/>
      <c r="AW63" s="41"/>
      <c r="AX63" s="41"/>
      <c r="AY63" s="22"/>
      <c r="AZ63" s="22"/>
      <c r="BA63" s="41"/>
      <c r="BB63" s="41"/>
      <c r="BC63" s="22"/>
      <c r="BD63" s="22"/>
      <c r="BE63" s="41"/>
      <c r="BF63" s="41"/>
      <c r="BG63" s="22"/>
      <c r="BH63" s="22"/>
      <c r="BI63" s="41"/>
      <c r="BJ63" s="41"/>
      <c r="BK63" s="22"/>
      <c r="BL63" s="22"/>
      <c r="BM63" s="41"/>
      <c r="BN63" s="41"/>
      <c r="BO63" s="22"/>
      <c r="BP63" s="22"/>
      <c r="BQ63" s="41"/>
      <c r="BR63" s="41"/>
      <c r="BS63" s="22"/>
      <c r="BT63" s="22"/>
      <c r="BU63" s="48"/>
      <c r="BV63" s="48"/>
      <c r="BW63" s="23"/>
      <c r="BX63" s="11" t="s">
        <v>84</v>
      </c>
      <c r="BY63" s="11" t="s">
        <v>84</v>
      </c>
      <c r="BZ63" s="26"/>
      <c r="CA63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"/>
      <c r="E64" s="44"/>
      <c r="F64" s="5"/>
      <c r="G64" s="6"/>
      <c r="H64" s="44"/>
      <c r="I64" s="44"/>
      <c r="J64" s="6"/>
      <c r="K64" s="5"/>
      <c r="L64" s="44"/>
      <c r="M64" s="44"/>
      <c r="N64" s="5"/>
      <c r="O64" s="6"/>
      <c r="P64" s="44"/>
      <c r="Q64" s="44"/>
      <c r="R64" s="6"/>
      <c r="S64" s="5"/>
      <c r="T64" s="44"/>
      <c r="U64" s="44"/>
      <c r="V64" s="5"/>
      <c r="W64" s="6"/>
      <c r="X64" s="44"/>
      <c r="Y64" s="44"/>
      <c r="Z64" s="6"/>
      <c r="AA64" s="5"/>
      <c r="AB64" s="44"/>
      <c r="AC64" s="44"/>
      <c r="AD64" s="6"/>
      <c r="AE64" s="6"/>
      <c r="AF64" s="42"/>
      <c r="AG64" s="42"/>
      <c r="AH64" s="6"/>
      <c r="AI64" s="5"/>
      <c r="AJ64" s="49"/>
      <c r="AK64" s="49"/>
      <c r="AL64" s="16"/>
      <c r="AM64" s="9">
        <f t="shared" ref="AM64:AM72" si="16">SUM(F64+J64+N64+R64+V64+Z64+AB64+AD64+AL64)</f>
        <v>0</v>
      </c>
      <c r="AN64" s="7"/>
      <c r="AO64" s="54"/>
      <c r="AP64" s="54"/>
      <c r="AQ64" s="6"/>
      <c r="AR64" s="5"/>
      <c r="AS64" s="42"/>
      <c r="AT64" s="42"/>
      <c r="AU64" s="5"/>
      <c r="AV64" s="6"/>
      <c r="AW64" s="42"/>
      <c r="AX64" s="42"/>
      <c r="AY64" s="6"/>
      <c r="AZ64" s="5"/>
      <c r="BA64" s="42"/>
      <c r="BB64" s="42"/>
      <c r="BC64" s="5"/>
      <c r="BD64" s="6"/>
      <c r="BE64" s="42"/>
      <c r="BF64" s="42"/>
      <c r="BG64" s="6"/>
      <c r="BH64" s="5"/>
      <c r="BI64" s="42"/>
      <c r="BJ64" s="42"/>
      <c r="BK64" s="5"/>
      <c r="BL64" s="6"/>
      <c r="BM64" s="42"/>
      <c r="BN64" s="42"/>
      <c r="BO64" s="6"/>
      <c r="BP64" s="5"/>
      <c r="BQ64" s="42"/>
      <c r="BR64" s="42"/>
      <c r="BS64" s="5"/>
      <c r="BT64" s="6"/>
      <c r="BU64" s="56"/>
      <c r="BV64" s="56"/>
      <c r="BW64" s="17"/>
      <c r="BX64" s="12">
        <f>SUM(AQ64+AU64+AY64+BC64+BG64+BK64+BO64+BS64+BW64)</f>
        <v>0</v>
      </c>
      <c r="BY64" s="12">
        <f>SUM(AM64+BX64)</f>
        <v>0</v>
      </c>
      <c r="BZ64" s="27"/>
      <c r="CA64" s="81">
        <f>RANK(BY64,BY64:BY72)</f>
        <v>1</v>
      </c>
      <c r="CB64" s="83"/>
    </row>
    <row r="65" spans="1:80">
      <c r="A65" s="143"/>
      <c r="B65" s="24" t="s">
        <v>88</v>
      </c>
      <c r="C65" s="5"/>
      <c r="D65" s="44"/>
      <c r="E65" s="44"/>
      <c r="F65" s="5"/>
      <c r="G65" s="6"/>
      <c r="H65" s="44"/>
      <c r="I65" s="44"/>
      <c r="J65" s="6"/>
      <c r="K65" s="5"/>
      <c r="L65" s="44"/>
      <c r="M65" s="44"/>
      <c r="N65" s="5"/>
      <c r="O65" s="6"/>
      <c r="P65" s="44"/>
      <c r="Q65" s="44"/>
      <c r="R65" s="6"/>
      <c r="S65" s="5"/>
      <c r="T65" s="44"/>
      <c r="U65" s="44"/>
      <c r="V65" s="5"/>
      <c r="W65" s="6"/>
      <c r="X65" s="44"/>
      <c r="Y65" s="44"/>
      <c r="Z65" s="6"/>
      <c r="AA65" s="5"/>
      <c r="AB65" s="44"/>
      <c r="AC65" s="44"/>
      <c r="AD65" s="6"/>
      <c r="AE65" s="6"/>
      <c r="AF65" s="42"/>
      <c r="AG65" s="42"/>
      <c r="AH65" s="6"/>
      <c r="AI65" s="5"/>
      <c r="AJ65" s="49"/>
      <c r="AK65" s="49"/>
      <c r="AL65" s="16"/>
      <c r="AM65" s="9">
        <f t="shared" si="16"/>
        <v>0</v>
      </c>
      <c r="AN65" s="7"/>
      <c r="AO65" s="54"/>
      <c r="AP65" s="54"/>
      <c r="AQ65" s="6"/>
      <c r="AR65" s="5"/>
      <c r="AS65" s="42"/>
      <c r="AT65" s="42"/>
      <c r="AU65" s="5"/>
      <c r="AV65" s="6"/>
      <c r="AW65" s="42"/>
      <c r="AX65" s="42"/>
      <c r="AY65" s="6"/>
      <c r="AZ65" s="5"/>
      <c r="BA65" s="42"/>
      <c r="BB65" s="42"/>
      <c r="BC65" s="5"/>
      <c r="BD65" s="6"/>
      <c r="BE65" s="42"/>
      <c r="BF65" s="42"/>
      <c r="BG65" s="6"/>
      <c r="BH65" s="5"/>
      <c r="BI65" s="42"/>
      <c r="BJ65" s="42"/>
      <c r="BK65" s="5"/>
      <c r="BL65" s="6"/>
      <c r="BM65" s="42"/>
      <c r="BN65" s="42"/>
      <c r="BO65" s="6"/>
      <c r="BP65" s="5"/>
      <c r="BQ65" s="42"/>
      <c r="BR65" s="42"/>
      <c r="BS65" s="5"/>
      <c r="BT65" s="6"/>
      <c r="BU65" s="56"/>
      <c r="BV65" s="56"/>
      <c r="BW65" s="17"/>
      <c r="BX65" s="12">
        <f t="shared" ref="BX65:BX72" si="17">SUM(AQ65+AU65+AY65+BC65+BG65+BK65+BO65+BS65+BW65)</f>
        <v>0</v>
      </c>
      <c r="BY65" s="12">
        <f t="shared" ref="BY65:BY72" si="18">SUM(AM65+BX65)</f>
        <v>0</v>
      </c>
      <c r="BZ65" s="28"/>
      <c r="CA65" s="81">
        <f t="shared" ref="CA65:CA72" si="19">RANK(BY65,BY65:BY73)</f>
        <v>1</v>
      </c>
      <c r="CB65" s="83"/>
    </row>
    <row r="66" spans="1:80">
      <c r="A66" s="143"/>
      <c r="B66" s="24" t="s">
        <v>89</v>
      </c>
      <c r="C66" s="5"/>
      <c r="D66" s="44"/>
      <c r="E66" s="44"/>
      <c r="F66" s="5"/>
      <c r="G66" s="6"/>
      <c r="H66" s="44"/>
      <c r="I66" s="44"/>
      <c r="J66" s="6"/>
      <c r="K66" s="5"/>
      <c r="L66" s="44"/>
      <c r="M66" s="44"/>
      <c r="N66" s="5"/>
      <c r="O66" s="6"/>
      <c r="P66" s="44"/>
      <c r="Q66" s="44"/>
      <c r="R66" s="6"/>
      <c r="S66" s="5"/>
      <c r="T66" s="44"/>
      <c r="U66" s="44"/>
      <c r="V66" s="5"/>
      <c r="W66" s="6"/>
      <c r="X66" s="44"/>
      <c r="Y66" s="44"/>
      <c r="Z66" s="6"/>
      <c r="AA66" s="5"/>
      <c r="AB66" s="44"/>
      <c r="AC66" s="44"/>
      <c r="AD66" s="6"/>
      <c r="AE66" s="6"/>
      <c r="AF66" s="42"/>
      <c r="AG66" s="42"/>
      <c r="AH66" s="6"/>
      <c r="AI66" s="5"/>
      <c r="AJ66" s="49"/>
      <c r="AK66" s="49"/>
      <c r="AL66" s="16"/>
      <c r="AM66" s="9">
        <f t="shared" si="16"/>
        <v>0</v>
      </c>
      <c r="AN66" s="7"/>
      <c r="AO66" s="54"/>
      <c r="AP66" s="54"/>
      <c r="AQ66" s="6"/>
      <c r="AR66" s="5"/>
      <c r="AS66" s="42"/>
      <c r="AT66" s="42"/>
      <c r="AU66" s="5"/>
      <c r="AV66" s="6"/>
      <c r="AW66" s="42"/>
      <c r="AX66" s="42"/>
      <c r="AY66" s="6"/>
      <c r="AZ66" s="5"/>
      <c r="BA66" s="42"/>
      <c r="BB66" s="42"/>
      <c r="BC66" s="5"/>
      <c r="BD66" s="6"/>
      <c r="BE66" s="42"/>
      <c r="BF66" s="42"/>
      <c r="BG66" s="6"/>
      <c r="BH66" s="5"/>
      <c r="BI66" s="42"/>
      <c r="BJ66" s="42"/>
      <c r="BK66" s="5"/>
      <c r="BL66" s="6"/>
      <c r="BM66" s="42"/>
      <c r="BN66" s="42"/>
      <c r="BO66" s="6"/>
      <c r="BP66" s="5"/>
      <c r="BQ66" s="42"/>
      <c r="BR66" s="42"/>
      <c r="BS66" s="5"/>
      <c r="BT66" s="6"/>
      <c r="BU66" s="56"/>
      <c r="BV66" s="56"/>
      <c r="BW66" s="17"/>
      <c r="BX66" s="12">
        <f t="shared" si="17"/>
        <v>0</v>
      </c>
      <c r="BY66" s="12">
        <f t="shared" si="18"/>
        <v>0</v>
      </c>
      <c r="BZ66" s="28"/>
      <c r="CA66" s="81">
        <f t="shared" si="19"/>
        <v>1</v>
      </c>
      <c r="CB66" s="83"/>
    </row>
    <row r="67" spans="1:80">
      <c r="A67" s="143"/>
      <c r="B67" s="24" t="s">
        <v>16</v>
      </c>
      <c r="C67" s="5"/>
      <c r="D67" s="44"/>
      <c r="E67" s="44"/>
      <c r="F67" s="5"/>
      <c r="G67" s="6"/>
      <c r="H67" s="44"/>
      <c r="I67" s="44"/>
      <c r="J67" s="6"/>
      <c r="K67" s="5"/>
      <c r="L67" s="44"/>
      <c r="M67" s="44"/>
      <c r="N67" s="5"/>
      <c r="O67" s="6"/>
      <c r="P67" s="44"/>
      <c r="Q67" s="44"/>
      <c r="R67" s="6"/>
      <c r="S67" s="5"/>
      <c r="T67" s="44"/>
      <c r="U67" s="44"/>
      <c r="V67" s="5"/>
      <c r="W67" s="6"/>
      <c r="X67" s="44"/>
      <c r="Y67" s="44"/>
      <c r="Z67" s="6"/>
      <c r="AA67" s="5"/>
      <c r="AB67" s="44"/>
      <c r="AC67" s="44"/>
      <c r="AD67" s="6"/>
      <c r="AE67" s="6"/>
      <c r="AF67" s="42"/>
      <c r="AG67" s="42"/>
      <c r="AH67" s="6"/>
      <c r="AI67" s="5"/>
      <c r="AJ67" s="49"/>
      <c r="AK67" s="49"/>
      <c r="AL67" s="16"/>
      <c r="AM67" s="9">
        <f t="shared" si="16"/>
        <v>0</v>
      </c>
      <c r="AN67" s="7"/>
      <c r="AO67" s="54"/>
      <c r="AP67" s="54"/>
      <c r="AQ67" s="6"/>
      <c r="AR67" s="5"/>
      <c r="AS67" s="42"/>
      <c r="AT67" s="42"/>
      <c r="AU67" s="5"/>
      <c r="AV67" s="6"/>
      <c r="AW67" s="42"/>
      <c r="AX67" s="42"/>
      <c r="AY67" s="6"/>
      <c r="AZ67" s="5"/>
      <c r="BA67" s="42"/>
      <c r="BB67" s="42"/>
      <c r="BC67" s="5"/>
      <c r="BD67" s="6"/>
      <c r="BE67" s="42"/>
      <c r="BF67" s="42"/>
      <c r="BG67" s="6"/>
      <c r="BH67" s="5"/>
      <c r="BI67" s="42"/>
      <c r="BJ67" s="42"/>
      <c r="BK67" s="5"/>
      <c r="BL67" s="6"/>
      <c r="BM67" s="42"/>
      <c r="BN67" s="42"/>
      <c r="BO67" s="6"/>
      <c r="BP67" s="5"/>
      <c r="BQ67" s="42"/>
      <c r="BR67" s="42"/>
      <c r="BS67" s="5"/>
      <c r="BT67" s="6"/>
      <c r="BU67" s="56"/>
      <c r="BV67" s="56"/>
      <c r="BW67" s="17"/>
      <c r="BX67" s="12">
        <f t="shared" si="17"/>
        <v>0</v>
      </c>
      <c r="BY67" s="12">
        <f t="shared" si="18"/>
        <v>0</v>
      </c>
      <c r="BZ67" s="28"/>
      <c r="CA67" s="81">
        <f t="shared" si="19"/>
        <v>1</v>
      </c>
      <c r="CB67" s="83"/>
    </row>
    <row r="68" spans="1:80">
      <c r="A68" s="143"/>
      <c r="B68" s="24" t="s">
        <v>18</v>
      </c>
      <c r="C68" s="5"/>
      <c r="D68" s="44"/>
      <c r="E68" s="44"/>
      <c r="F68" s="5"/>
      <c r="G68" s="6"/>
      <c r="H68" s="44"/>
      <c r="I68" s="44"/>
      <c r="J68" s="6"/>
      <c r="K68" s="5"/>
      <c r="L68" s="44"/>
      <c r="M68" s="44"/>
      <c r="N68" s="5"/>
      <c r="O68" s="6"/>
      <c r="P68" s="44"/>
      <c r="Q68" s="44"/>
      <c r="R68" s="6"/>
      <c r="S68" s="5"/>
      <c r="T68" s="44"/>
      <c r="U68" s="44"/>
      <c r="V68" s="5"/>
      <c r="W68" s="6"/>
      <c r="X68" s="44"/>
      <c r="Y68" s="44"/>
      <c r="Z68" s="6"/>
      <c r="AA68" s="5"/>
      <c r="AB68" s="44"/>
      <c r="AC68" s="44"/>
      <c r="AD68" s="6"/>
      <c r="AE68" s="6"/>
      <c r="AF68" s="42"/>
      <c r="AG68" s="42"/>
      <c r="AH68" s="6"/>
      <c r="AI68" s="5"/>
      <c r="AJ68" s="49"/>
      <c r="AK68" s="49"/>
      <c r="AL68" s="16"/>
      <c r="AM68" s="9">
        <f t="shared" si="16"/>
        <v>0</v>
      </c>
      <c r="AN68" s="7"/>
      <c r="AO68" s="54"/>
      <c r="AP68" s="54"/>
      <c r="AQ68" s="6"/>
      <c r="AR68" s="5"/>
      <c r="AS68" s="42"/>
      <c r="AT68" s="42"/>
      <c r="AU68" s="5"/>
      <c r="AV68" s="6"/>
      <c r="AW68" s="42"/>
      <c r="AX68" s="42"/>
      <c r="AY68" s="6"/>
      <c r="AZ68" s="5"/>
      <c r="BA68" s="42"/>
      <c r="BB68" s="42"/>
      <c r="BC68" s="5"/>
      <c r="BD68" s="6"/>
      <c r="BE68" s="42"/>
      <c r="BF68" s="42"/>
      <c r="BG68" s="6"/>
      <c r="BH68" s="5"/>
      <c r="BI68" s="42"/>
      <c r="BJ68" s="42"/>
      <c r="BK68" s="5"/>
      <c r="BL68" s="6"/>
      <c r="BM68" s="42"/>
      <c r="BN68" s="42"/>
      <c r="BO68" s="6"/>
      <c r="BP68" s="5"/>
      <c r="BQ68" s="42"/>
      <c r="BR68" s="42"/>
      <c r="BS68" s="5"/>
      <c r="BT68" s="6"/>
      <c r="BU68" s="56"/>
      <c r="BV68" s="56"/>
      <c r="BW68" s="17"/>
      <c r="BX68" s="12">
        <f t="shared" si="17"/>
        <v>0</v>
      </c>
      <c r="BY68" s="12">
        <f t="shared" si="18"/>
        <v>0</v>
      </c>
      <c r="BZ68" s="28"/>
      <c r="CA68" s="81">
        <f t="shared" si="19"/>
        <v>1</v>
      </c>
      <c r="CB68" s="83"/>
    </row>
    <row r="69" spans="1:80">
      <c r="A69" s="143"/>
      <c r="B69" s="24" t="s">
        <v>40</v>
      </c>
      <c r="C69" s="5"/>
      <c r="D69" s="44"/>
      <c r="E69" s="44"/>
      <c r="F69" s="5"/>
      <c r="G69" s="6"/>
      <c r="H69" s="44"/>
      <c r="I69" s="44"/>
      <c r="J69" s="6"/>
      <c r="K69" s="5"/>
      <c r="L69" s="44"/>
      <c r="M69" s="44"/>
      <c r="N69" s="5"/>
      <c r="O69" s="6"/>
      <c r="P69" s="44"/>
      <c r="Q69" s="44"/>
      <c r="R69" s="6"/>
      <c r="S69" s="5"/>
      <c r="T69" s="44"/>
      <c r="U69" s="44"/>
      <c r="V69" s="5"/>
      <c r="W69" s="6"/>
      <c r="X69" s="44"/>
      <c r="Y69" s="44"/>
      <c r="Z69" s="6"/>
      <c r="AA69" s="5"/>
      <c r="AB69" s="44"/>
      <c r="AC69" s="44"/>
      <c r="AD69" s="6"/>
      <c r="AE69" s="6"/>
      <c r="AF69" s="42"/>
      <c r="AG69" s="42"/>
      <c r="AH69" s="6"/>
      <c r="AI69" s="5"/>
      <c r="AJ69" s="49"/>
      <c r="AK69" s="49"/>
      <c r="AL69" s="16"/>
      <c r="AM69" s="9">
        <f t="shared" si="16"/>
        <v>0</v>
      </c>
      <c r="AN69" s="7"/>
      <c r="AO69" s="54"/>
      <c r="AP69" s="54"/>
      <c r="AQ69" s="6"/>
      <c r="AR69" s="5"/>
      <c r="AS69" s="42"/>
      <c r="AT69" s="42"/>
      <c r="AU69" s="5"/>
      <c r="AV69" s="6"/>
      <c r="AW69" s="42"/>
      <c r="AX69" s="42"/>
      <c r="AY69" s="6"/>
      <c r="AZ69" s="5"/>
      <c r="BA69" s="42"/>
      <c r="BB69" s="42"/>
      <c r="BC69" s="5"/>
      <c r="BD69" s="6"/>
      <c r="BE69" s="42"/>
      <c r="BF69" s="42"/>
      <c r="BG69" s="6"/>
      <c r="BH69" s="5"/>
      <c r="BI69" s="42"/>
      <c r="BJ69" s="42"/>
      <c r="BK69" s="5"/>
      <c r="BL69" s="6"/>
      <c r="BM69" s="42"/>
      <c r="BN69" s="42"/>
      <c r="BO69" s="6"/>
      <c r="BP69" s="5"/>
      <c r="BQ69" s="42"/>
      <c r="BR69" s="42"/>
      <c r="BS69" s="5"/>
      <c r="BT69" s="6"/>
      <c r="BU69" s="56"/>
      <c r="BV69" s="56"/>
      <c r="BW69" s="17"/>
      <c r="BX69" s="12">
        <f t="shared" si="17"/>
        <v>0</v>
      </c>
      <c r="BY69" s="12">
        <f t="shared" si="18"/>
        <v>0</v>
      </c>
      <c r="BZ69" s="28"/>
      <c r="CA69" s="81">
        <f t="shared" si="19"/>
        <v>1</v>
      </c>
      <c r="CB69" s="83"/>
    </row>
    <row r="70" spans="1:80">
      <c r="A70" s="143"/>
      <c r="B70" s="24" t="s">
        <v>34</v>
      </c>
      <c r="C70" s="5"/>
      <c r="D70" s="44"/>
      <c r="E70" s="44"/>
      <c r="F70" s="5"/>
      <c r="G70" s="6"/>
      <c r="H70" s="44"/>
      <c r="I70" s="44"/>
      <c r="J70" s="6"/>
      <c r="K70" s="5"/>
      <c r="L70" s="44"/>
      <c r="M70" s="44"/>
      <c r="N70" s="5"/>
      <c r="O70" s="6"/>
      <c r="P70" s="44"/>
      <c r="Q70" s="44"/>
      <c r="R70" s="6"/>
      <c r="S70" s="5"/>
      <c r="T70" s="44"/>
      <c r="U70" s="44"/>
      <c r="V70" s="5"/>
      <c r="W70" s="6"/>
      <c r="X70" s="44"/>
      <c r="Y70" s="44"/>
      <c r="Z70" s="6"/>
      <c r="AA70" s="5"/>
      <c r="AB70" s="44"/>
      <c r="AC70" s="44"/>
      <c r="AD70" s="6"/>
      <c r="AE70" s="6"/>
      <c r="AF70" s="42"/>
      <c r="AG70" s="42"/>
      <c r="AH70" s="6"/>
      <c r="AI70" s="5"/>
      <c r="AJ70" s="49"/>
      <c r="AK70" s="49"/>
      <c r="AL70" s="16"/>
      <c r="AM70" s="9">
        <f t="shared" si="16"/>
        <v>0</v>
      </c>
      <c r="AN70" s="7"/>
      <c r="AO70" s="54"/>
      <c r="AP70" s="54"/>
      <c r="AQ70" s="6"/>
      <c r="AR70" s="5"/>
      <c r="AS70" s="42"/>
      <c r="AT70" s="42"/>
      <c r="AU70" s="5"/>
      <c r="AV70" s="6"/>
      <c r="AW70" s="42"/>
      <c r="AX70" s="42"/>
      <c r="AY70" s="6"/>
      <c r="AZ70" s="5"/>
      <c r="BA70" s="42"/>
      <c r="BB70" s="42"/>
      <c r="BC70" s="5"/>
      <c r="BD70" s="6"/>
      <c r="BE70" s="42"/>
      <c r="BF70" s="42"/>
      <c r="BG70" s="6"/>
      <c r="BH70" s="5"/>
      <c r="BI70" s="42"/>
      <c r="BJ70" s="42"/>
      <c r="BK70" s="5"/>
      <c r="BL70" s="6"/>
      <c r="BM70" s="42"/>
      <c r="BN70" s="42"/>
      <c r="BO70" s="6"/>
      <c r="BP70" s="5"/>
      <c r="BQ70" s="42"/>
      <c r="BR70" s="42"/>
      <c r="BS70" s="5"/>
      <c r="BT70" s="6"/>
      <c r="BU70" s="56"/>
      <c r="BV70" s="56"/>
      <c r="BW70" s="17"/>
      <c r="BX70" s="12">
        <f t="shared" si="17"/>
        <v>0</v>
      </c>
      <c r="BY70" s="12">
        <f t="shared" si="18"/>
        <v>0</v>
      </c>
      <c r="BZ70" s="28"/>
      <c r="CA70" s="81">
        <f t="shared" si="19"/>
        <v>1</v>
      </c>
      <c r="CB70" s="83"/>
    </row>
    <row r="71" spans="1:80">
      <c r="A71" s="143"/>
      <c r="B71" s="24" t="s">
        <v>92</v>
      </c>
      <c r="C71" s="5"/>
      <c r="D71" s="44"/>
      <c r="E71" s="44"/>
      <c r="F71" s="5"/>
      <c r="G71" s="6"/>
      <c r="H71" s="44"/>
      <c r="I71" s="44"/>
      <c r="J71" s="6"/>
      <c r="K71" s="5"/>
      <c r="L71" s="44"/>
      <c r="M71" s="44"/>
      <c r="N71" s="5"/>
      <c r="O71" s="6"/>
      <c r="P71" s="44"/>
      <c r="Q71" s="44"/>
      <c r="R71" s="6"/>
      <c r="S71" s="5"/>
      <c r="T71" s="44"/>
      <c r="U71" s="44"/>
      <c r="V71" s="5"/>
      <c r="W71" s="6"/>
      <c r="X71" s="44"/>
      <c r="Y71" s="44"/>
      <c r="Z71" s="6"/>
      <c r="AA71" s="5"/>
      <c r="AB71" s="44"/>
      <c r="AC71" s="44"/>
      <c r="AD71" s="6"/>
      <c r="AE71" s="6"/>
      <c r="AF71" s="42"/>
      <c r="AG71" s="42"/>
      <c r="AH71" s="6"/>
      <c r="AI71" s="5"/>
      <c r="AJ71" s="49"/>
      <c r="AK71" s="49"/>
      <c r="AL71" s="16"/>
      <c r="AM71" s="9">
        <f t="shared" si="16"/>
        <v>0</v>
      </c>
      <c r="AN71" s="7"/>
      <c r="AO71" s="54"/>
      <c r="AP71" s="54"/>
      <c r="AQ71" s="6"/>
      <c r="AR71" s="5"/>
      <c r="AS71" s="42"/>
      <c r="AT71" s="42"/>
      <c r="AU71" s="5"/>
      <c r="AV71" s="6"/>
      <c r="AW71" s="42"/>
      <c r="AX71" s="42"/>
      <c r="AY71" s="6"/>
      <c r="AZ71" s="5"/>
      <c r="BA71" s="42"/>
      <c r="BB71" s="42"/>
      <c r="BC71" s="5"/>
      <c r="BD71" s="6"/>
      <c r="BE71" s="42"/>
      <c r="BF71" s="42"/>
      <c r="BG71" s="6"/>
      <c r="BH71" s="5"/>
      <c r="BI71" s="42"/>
      <c r="BJ71" s="42"/>
      <c r="BK71" s="5"/>
      <c r="BL71" s="6"/>
      <c r="BM71" s="42"/>
      <c r="BN71" s="42"/>
      <c r="BO71" s="6"/>
      <c r="BP71" s="5"/>
      <c r="BQ71" s="42"/>
      <c r="BR71" s="42"/>
      <c r="BS71" s="5"/>
      <c r="BT71" s="6"/>
      <c r="BU71" s="56"/>
      <c r="BV71" s="56"/>
      <c r="BW71" s="17"/>
      <c r="BX71" s="12">
        <f t="shared" si="17"/>
        <v>0</v>
      </c>
      <c r="BY71" s="12">
        <f t="shared" si="18"/>
        <v>0</v>
      </c>
      <c r="BZ71" s="28"/>
      <c r="CA71" s="81">
        <f t="shared" si="19"/>
        <v>1</v>
      </c>
      <c r="CB71" s="83"/>
    </row>
    <row r="72" spans="1:80">
      <c r="A72" s="143"/>
      <c r="B72" s="86" t="s">
        <v>14</v>
      </c>
      <c r="C72" s="3"/>
      <c r="D72" s="44"/>
      <c r="E72" s="44"/>
      <c r="F72" s="5"/>
      <c r="G72" s="4"/>
      <c r="H72" s="46"/>
      <c r="I72" s="46"/>
      <c r="J72" s="4"/>
      <c r="K72" s="3"/>
      <c r="L72" s="46"/>
      <c r="M72" s="46"/>
      <c r="N72" s="3"/>
      <c r="O72" s="4"/>
      <c r="P72" s="46"/>
      <c r="Q72" s="46"/>
      <c r="R72" s="4"/>
      <c r="S72" s="3"/>
      <c r="T72" s="46"/>
      <c r="U72" s="46"/>
      <c r="V72" s="3"/>
      <c r="W72" s="4"/>
      <c r="X72" s="46"/>
      <c r="Y72" s="46"/>
      <c r="Z72" s="4"/>
      <c r="AA72" s="3"/>
      <c r="AB72" s="46"/>
      <c r="AC72" s="46"/>
      <c r="AD72" s="4"/>
      <c r="AE72" s="4"/>
      <c r="AF72" s="47"/>
      <c r="AG72" s="47"/>
      <c r="AH72" s="4"/>
      <c r="AI72" s="3"/>
      <c r="AJ72" s="50"/>
      <c r="AK72" s="50"/>
      <c r="AL72" s="18"/>
      <c r="AM72" s="9">
        <f t="shared" si="16"/>
        <v>0</v>
      </c>
      <c r="AN72" s="8"/>
      <c r="AO72" s="55"/>
      <c r="AP72" s="55"/>
      <c r="AQ72" s="4"/>
      <c r="AR72" s="3"/>
      <c r="AS72" s="47"/>
      <c r="AT72" s="47"/>
      <c r="AU72" s="3"/>
      <c r="AV72" s="4"/>
      <c r="AW72" s="47"/>
      <c r="AX72" s="47"/>
      <c r="AY72" s="4"/>
      <c r="AZ72" s="3"/>
      <c r="BA72" s="47"/>
      <c r="BB72" s="47"/>
      <c r="BC72" s="3"/>
      <c r="BD72" s="4"/>
      <c r="BE72" s="47"/>
      <c r="BF72" s="47"/>
      <c r="BG72" s="4"/>
      <c r="BH72" s="3"/>
      <c r="BI72" s="47"/>
      <c r="BJ72" s="47"/>
      <c r="BK72" s="3"/>
      <c r="BL72" s="4"/>
      <c r="BM72" s="47"/>
      <c r="BN72" s="47"/>
      <c r="BO72" s="4"/>
      <c r="BP72" s="3"/>
      <c r="BQ72" s="47"/>
      <c r="BR72" s="47"/>
      <c r="BS72" s="3"/>
      <c r="BT72" s="4"/>
      <c r="BU72" s="57"/>
      <c r="BV72" s="57"/>
      <c r="BW72" s="19"/>
      <c r="BX72" s="12">
        <f t="shared" si="17"/>
        <v>0</v>
      </c>
      <c r="BY72" s="12">
        <f t="shared" si="18"/>
        <v>0</v>
      </c>
      <c r="BZ72" s="28"/>
      <c r="CA72" s="81">
        <f t="shared" si="19"/>
        <v>1</v>
      </c>
      <c r="CB72" s="83"/>
    </row>
    <row r="73" spans="1:80">
      <c r="A73" s="143"/>
      <c r="B73" s="20"/>
      <c r="C73" s="20"/>
      <c r="D73" s="45"/>
      <c r="E73" s="45"/>
      <c r="F73" s="20"/>
      <c r="G73" s="20"/>
      <c r="H73" s="45"/>
      <c r="I73" s="45"/>
      <c r="J73" s="20"/>
      <c r="K73" s="20"/>
      <c r="L73" s="45"/>
      <c r="M73" s="45"/>
      <c r="N73" s="20"/>
      <c r="O73" s="20"/>
      <c r="P73" s="45"/>
      <c r="Q73" s="45"/>
      <c r="R73" s="20"/>
      <c r="S73" s="20"/>
      <c r="T73" s="45"/>
      <c r="U73" s="45"/>
      <c r="V73" s="20"/>
      <c r="W73" s="20"/>
      <c r="X73" s="45"/>
      <c r="Y73" s="45"/>
      <c r="Z73" s="20"/>
      <c r="AA73" s="20"/>
      <c r="AB73" s="45"/>
      <c r="AC73" s="45"/>
      <c r="AD73" s="20"/>
      <c r="AE73" s="20"/>
      <c r="AF73" s="43"/>
      <c r="AG73" s="43"/>
      <c r="AH73" s="20"/>
      <c r="AI73" s="20"/>
      <c r="AJ73" s="45"/>
      <c r="AK73" s="45"/>
      <c r="AL73" s="20"/>
      <c r="AM73" s="20"/>
      <c r="AN73" s="20"/>
      <c r="AO73" s="43"/>
      <c r="AP73" s="43"/>
      <c r="AQ73" s="20"/>
      <c r="AR73" s="20"/>
      <c r="AS73" s="43"/>
      <c r="AT73" s="43"/>
      <c r="AU73" s="20"/>
      <c r="AV73" s="20"/>
      <c r="AW73" s="43"/>
      <c r="AX73" s="43"/>
      <c r="AY73" s="20"/>
      <c r="AZ73" s="20"/>
      <c r="BA73" s="43"/>
      <c r="BB73" s="43"/>
      <c r="BC73" s="20"/>
      <c r="BD73" s="20"/>
      <c r="BE73" s="43"/>
      <c r="BF73" s="43"/>
      <c r="BG73" s="20"/>
      <c r="BH73" s="20"/>
      <c r="BI73" s="43"/>
      <c r="BJ73" s="43"/>
      <c r="BK73" s="20"/>
      <c r="BL73" s="20"/>
      <c r="BM73" s="43"/>
      <c r="BN73" s="43"/>
      <c r="BO73" s="20"/>
      <c r="BP73" s="20"/>
      <c r="BQ73" s="43"/>
      <c r="BR73" s="43"/>
      <c r="BS73" s="20"/>
      <c r="BT73" s="20"/>
      <c r="BU73" s="43"/>
      <c r="BV73" s="43"/>
      <c r="BW73" s="20"/>
      <c r="BX73" s="20"/>
      <c r="BY73" s="20"/>
      <c r="BZ73" s="32"/>
      <c r="CA73" s="32"/>
      <c r="CB73" s="32"/>
    </row>
  </sheetData>
  <mergeCells count="5">
    <mergeCell ref="A1:A13"/>
    <mergeCell ref="A16:A28"/>
    <mergeCell ref="A31:A43"/>
    <mergeCell ref="A46:A58"/>
    <mergeCell ref="A61:A73"/>
  </mergeCells>
  <conditionalFormatting sqref="F4:F12 J4:J12 N4:N12 R4:R12 V4:V12 Z4:Z12 AD4:AD12 AH4:AH12 AL4:AL12 AQ4:AQ12 AU4:AU12 AY4:AY12 BC4:BC12 BG4:BG12 BK4:BK12 BO4:BO12 BS4:BS12 BW4:BW12">
    <cfRule type="cellIs" dxfId="7" priority="12" operator="equal">
      <formula>0</formula>
    </cfRule>
  </conditionalFormatting>
  <conditionalFormatting sqref="F19:F27 J19:J27 N19:N27 R19:R27 V19:V27 Z19:Z27 AD19:AD27 AH19:AH27 AL19:AL27 AQ19:AQ27 AU19:AU27 AY19:AY27 BC19:BC27 BG19:BG27 BK19:BK27 BO19:BO27 BS19:BS27 BW19:BW27">
    <cfRule type="cellIs" dxfId="6" priority="7" operator="equal">
      <formula>0</formula>
    </cfRule>
  </conditionalFormatting>
  <conditionalFormatting sqref="F34:F42 J34:J42 N34:N42 R34:R42 V34:V42 Z34:Z42 AD34:AD42 AH34:AH42 AL34:AL42 AQ34:AQ42 AU34:AU42 AY34:AY42 BC34:BC42 BG34:BG42 BK34:BK42 BO34:BO42 BS34:BS42 BW34:BW42">
    <cfRule type="cellIs" dxfId="5" priority="6" operator="equal">
      <formula>0</formula>
    </cfRule>
  </conditionalFormatting>
  <conditionalFormatting sqref="F49:F57 J49:J57 N49:N57 R49:R57 V49:V57 Z49:Z57 AD49:AD57 AH49:AH57 AL49:AL57 AQ49:AQ57 AU49:AU57 AY49:AY57 BC49:BC57 BG49:BG57 BK49:BK57 BO49:BO57 BS49:BS57 BW49:BW57">
    <cfRule type="cellIs" dxfId="4" priority="5" operator="equal">
      <formula>0</formula>
    </cfRule>
  </conditionalFormatting>
  <conditionalFormatting sqref="F64:F72 J64:J72 N64:N72 R64:R72 V64:V72 Z64:Z72 AD64:AD72 AH64:AH72 AL64:AL72 AQ64:AQ72 AU64:AU72 AY64:AY72 BC64:BC72 BG64:BG72 BK64:BK72 BO64:BO72 BS64:BS72 BW64:BW72">
    <cfRule type="cellIs" dxfId="3" priority="4" operator="equal">
      <formula>0</formula>
    </cfRule>
  </conditionalFormatting>
  <conditionalFormatting sqref="CA4:CB17 CA18:CA27 CB19:CB27 CA28:CB32 CA33:CA42 CB34:CB42 CA43:CB47 CA48:CA57 CB49:CB57 CA58:CB62 CA63:CA72 CB64:CB72 CA73:CB92">
    <cfRule type="cellIs" dxfId="2" priority="1" operator="equal">
      <formula>5</formula>
    </cfRule>
    <cfRule type="cellIs" dxfId="1" priority="2" operator="equal">
      <formula>9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Perre</dc:creator>
  <cp:keywords/>
  <dc:description/>
  <cp:lastModifiedBy>Anthony Perre</cp:lastModifiedBy>
  <cp:revision/>
  <dcterms:created xsi:type="dcterms:W3CDTF">2024-08-27T22:17:13Z</dcterms:created>
  <dcterms:modified xsi:type="dcterms:W3CDTF">2026-02-05T23:29:55Z</dcterms:modified>
  <cp:category/>
  <cp:contentStatus/>
</cp:coreProperties>
</file>